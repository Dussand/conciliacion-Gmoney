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sand\OneDrive\Desktop\BPA\KASHIO\Business Process Analyst\Payins\AUT.Conciliacion-Gmoney\conciliacion-Gmoney\"/>
    </mc:Choice>
  </mc:AlternateContent>
  <xr:revisionPtr revIDLastSave="0" documentId="13_ncr:1_{C8CC25DA-F2B6-4436-91C1-853801E2D8B5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dsn_linea_planitlla_transferenc" sheetId="1" r:id="rId1"/>
    <sheet name="dsn_linea_planitlla_billetera" sheetId="5" r:id="rId2"/>
    <sheet name="DSN_RONDAS" sheetId="4" state="hidden" r:id="rId3"/>
    <sheet name="DSN_ESTADO" sheetId="3" state="hidden" r:id="rId4"/>
    <sheet name="DSN_EMPRESAS" sheetId="2" state="hidden" r:id="rId5"/>
    <sheet name="dsn_linea_planitlla_tarjetas" sheetId="6" r:id="rId6"/>
    <sheet name="dsn_linea_CHIL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4" i="1" l="1"/>
  <c r="J184" i="1"/>
  <c r="E184" i="1"/>
  <c r="G184" i="1"/>
  <c r="E183" i="1"/>
  <c r="G183" i="1"/>
  <c r="J183" i="1"/>
  <c r="N183" i="1"/>
  <c r="E182" i="1"/>
  <c r="E181" i="1"/>
  <c r="N182" i="1"/>
  <c r="N181" i="1"/>
  <c r="G181" i="1"/>
  <c r="G182" i="1"/>
  <c r="J181" i="1"/>
  <c r="J182" i="1"/>
  <c r="Y181" i="1"/>
  <c r="Y182" i="1"/>
  <c r="Y183" i="1"/>
  <c r="Y184" i="1"/>
  <c r="Z181" i="1"/>
  <c r="Z182" i="1"/>
  <c r="Z183" i="1"/>
  <c r="Z184" i="1"/>
  <c r="E180" i="1"/>
  <c r="G180" i="1"/>
  <c r="J180" i="1"/>
  <c r="N180" i="1"/>
  <c r="Y180" i="1"/>
  <c r="Z180" i="1"/>
  <c r="E179" i="1"/>
  <c r="G179" i="1"/>
  <c r="J179" i="1"/>
  <c r="N179" i="1"/>
  <c r="Y179" i="1"/>
  <c r="Z179" i="1"/>
  <c r="E178" i="1"/>
  <c r="G178" i="1"/>
  <c r="J178" i="1"/>
  <c r="N178" i="1"/>
  <c r="Y178" i="1"/>
  <c r="Z178" i="1"/>
  <c r="E177" i="1"/>
  <c r="G177" i="1"/>
  <c r="J177" i="1"/>
  <c r="N177" i="1"/>
  <c r="Y177" i="1"/>
  <c r="Z177" i="1"/>
  <c r="E176" i="1"/>
  <c r="G176" i="1"/>
  <c r="J176" i="1"/>
  <c r="N176" i="1"/>
  <c r="Y176" i="1"/>
  <c r="Z176" i="1"/>
  <c r="Y172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G166" i="1"/>
  <c r="G167" i="1"/>
  <c r="G168" i="1"/>
  <c r="G169" i="1"/>
  <c r="G170" i="1"/>
  <c r="G171" i="1"/>
  <c r="G172" i="1"/>
  <c r="G173" i="1"/>
  <c r="G174" i="1"/>
  <c r="G175" i="1"/>
  <c r="J166" i="1"/>
  <c r="J167" i="1"/>
  <c r="J168" i="1"/>
  <c r="J169" i="1"/>
  <c r="J170" i="1"/>
  <c r="J171" i="1"/>
  <c r="J172" i="1"/>
  <c r="J173" i="1"/>
  <c r="J174" i="1"/>
  <c r="J175" i="1"/>
  <c r="Y166" i="1"/>
  <c r="Y167" i="1"/>
  <c r="Y168" i="1"/>
  <c r="Y169" i="1"/>
  <c r="Y170" i="1"/>
  <c r="Y171" i="1"/>
  <c r="Y173" i="1"/>
  <c r="Y174" i="1"/>
  <c r="Y175" i="1"/>
  <c r="Z166" i="1"/>
  <c r="Z167" i="1"/>
  <c r="Z168" i="1"/>
  <c r="Z169" i="1"/>
  <c r="Z170" i="1"/>
  <c r="Z171" i="1"/>
  <c r="Z172" i="1"/>
  <c r="Z173" i="1"/>
  <c r="Z174" i="1"/>
  <c r="Z175" i="1"/>
  <c r="Y160" i="1"/>
  <c r="Y159" i="1"/>
  <c r="Y155" i="1"/>
  <c r="Y154" i="1"/>
  <c r="E160" i="1"/>
  <c r="E159" i="1"/>
  <c r="N160" i="1"/>
  <c r="G160" i="1"/>
  <c r="G161" i="1"/>
  <c r="G162" i="1"/>
  <c r="G163" i="1"/>
  <c r="G164" i="1"/>
  <c r="G165" i="1"/>
  <c r="J160" i="1"/>
  <c r="J161" i="1"/>
  <c r="J162" i="1"/>
  <c r="J163" i="1"/>
  <c r="J164" i="1"/>
  <c r="J165" i="1"/>
  <c r="Y161" i="1"/>
  <c r="Y162" i="1"/>
  <c r="Y163" i="1"/>
  <c r="Y164" i="1"/>
  <c r="Y165" i="1"/>
  <c r="Z160" i="1"/>
  <c r="Z161" i="1"/>
  <c r="Z162" i="1"/>
  <c r="Z163" i="1"/>
  <c r="Z164" i="1"/>
  <c r="Z165" i="1"/>
  <c r="G159" i="1"/>
  <c r="J159" i="1"/>
  <c r="N159" i="1"/>
  <c r="Z159" i="1"/>
  <c r="Z158" i="1" l="1"/>
  <c r="Y158" i="1"/>
  <c r="N150" i="1"/>
  <c r="N151" i="1"/>
  <c r="N152" i="1"/>
  <c r="N153" i="1"/>
  <c r="N154" i="1"/>
  <c r="N155" i="1"/>
  <c r="N156" i="1"/>
  <c r="N157" i="1"/>
  <c r="N158" i="1"/>
  <c r="J158" i="1"/>
  <c r="E158" i="1"/>
  <c r="G158" i="1"/>
  <c r="E157" i="1"/>
  <c r="E156" i="1"/>
  <c r="E155" i="1"/>
  <c r="E154" i="1"/>
  <c r="E153" i="1"/>
  <c r="E152" i="1"/>
  <c r="N148" i="1"/>
  <c r="N149" i="1"/>
  <c r="E151" i="1"/>
  <c r="E150" i="1"/>
  <c r="E149" i="1"/>
  <c r="E148" i="1"/>
  <c r="N147" i="1"/>
  <c r="E147" i="1"/>
  <c r="E71" i="1"/>
  <c r="N71" i="1"/>
  <c r="E70" i="1"/>
  <c r="E69" i="1"/>
  <c r="E68" i="1"/>
  <c r="E67" i="1"/>
  <c r="E66" i="1"/>
  <c r="E47" i="1"/>
  <c r="G47" i="1"/>
  <c r="J47" i="1"/>
  <c r="N47" i="1"/>
  <c r="E48" i="1"/>
  <c r="G48" i="1"/>
  <c r="J48" i="1"/>
  <c r="N48" i="1"/>
  <c r="E49" i="1"/>
  <c r="G49" i="1"/>
  <c r="J49" i="1"/>
  <c r="N49" i="1"/>
  <c r="E50" i="1"/>
  <c r="G50" i="1"/>
  <c r="J50" i="1"/>
  <c r="N50" i="1"/>
  <c r="E51" i="1"/>
  <c r="G51" i="1"/>
  <c r="J51" i="1"/>
  <c r="N51" i="1"/>
  <c r="E52" i="1"/>
  <c r="G52" i="1"/>
  <c r="J52" i="1"/>
  <c r="N52" i="1"/>
  <c r="E53" i="1"/>
  <c r="G53" i="1"/>
  <c r="J53" i="1"/>
  <c r="N53" i="1"/>
  <c r="E54" i="1"/>
  <c r="G54" i="1"/>
  <c r="J54" i="1"/>
  <c r="N54" i="1"/>
  <c r="E55" i="1"/>
  <c r="G55" i="1"/>
  <c r="J55" i="1"/>
  <c r="N55" i="1"/>
  <c r="E56" i="1"/>
  <c r="G56" i="1"/>
  <c r="J56" i="1"/>
  <c r="N56" i="1"/>
  <c r="E57" i="1"/>
  <c r="G57" i="1"/>
  <c r="J57" i="1"/>
  <c r="N57" i="1"/>
  <c r="E58" i="1"/>
  <c r="G58" i="1"/>
  <c r="J58" i="1"/>
  <c r="N58" i="1"/>
  <c r="E59" i="1"/>
  <c r="G59" i="1"/>
  <c r="J59" i="1"/>
  <c r="N59" i="1"/>
  <c r="E60" i="1"/>
  <c r="G60" i="1"/>
  <c r="J60" i="1"/>
  <c r="N60" i="1"/>
  <c r="N43" i="1"/>
  <c r="N44" i="1"/>
  <c r="J43" i="1"/>
  <c r="J44" i="1"/>
  <c r="G43" i="1"/>
  <c r="G44" i="1"/>
  <c r="G45" i="1"/>
  <c r="G46" i="1"/>
  <c r="E43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N4" i="1"/>
  <c r="N5" i="1"/>
  <c r="Y2" i="1"/>
  <c r="G2" i="1"/>
  <c r="J2" i="1"/>
  <c r="N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4" i="1"/>
  <c r="E45" i="1"/>
  <c r="E46" i="1"/>
  <c r="E61" i="1"/>
  <c r="E62" i="1"/>
  <c r="E63" i="1"/>
  <c r="E64" i="1"/>
  <c r="E65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6" i="1"/>
  <c r="Y157" i="1"/>
  <c r="AA2" i="5"/>
  <c r="H2" i="5"/>
  <c r="E2" i="5"/>
  <c r="R2" i="5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N146" i="1"/>
  <c r="J146" i="1"/>
  <c r="G146" i="1"/>
  <c r="N145" i="1"/>
  <c r="J145" i="1"/>
  <c r="G145" i="1"/>
  <c r="N144" i="1"/>
  <c r="J144" i="1"/>
  <c r="G144" i="1"/>
  <c r="N143" i="1"/>
  <c r="J143" i="1"/>
  <c r="G143" i="1"/>
  <c r="N142" i="1"/>
  <c r="J142" i="1"/>
  <c r="G142" i="1"/>
  <c r="N141" i="1"/>
  <c r="J141" i="1"/>
  <c r="G141" i="1"/>
  <c r="N140" i="1"/>
  <c r="J140" i="1"/>
  <c r="G140" i="1"/>
  <c r="N139" i="1"/>
  <c r="J139" i="1"/>
  <c r="G139" i="1"/>
  <c r="N138" i="1"/>
  <c r="J138" i="1"/>
  <c r="G138" i="1"/>
  <c r="N137" i="1"/>
  <c r="J137" i="1"/>
  <c r="G137" i="1"/>
  <c r="N136" i="1"/>
  <c r="J136" i="1"/>
  <c r="G136" i="1"/>
  <c r="N135" i="1"/>
  <c r="J135" i="1"/>
  <c r="G135" i="1"/>
  <c r="N134" i="1"/>
  <c r="J134" i="1"/>
  <c r="G134" i="1"/>
  <c r="N133" i="1"/>
  <c r="J133" i="1"/>
  <c r="G133" i="1"/>
  <c r="N132" i="1"/>
  <c r="J132" i="1"/>
  <c r="G132" i="1"/>
  <c r="N131" i="1"/>
  <c r="J131" i="1"/>
  <c r="G131" i="1"/>
  <c r="N130" i="1"/>
  <c r="J130" i="1"/>
  <c r="G130" i="1"/>
  <c r="N129" i="1"/>
  <c r="J129" i="1"/>
  <c r="G129" i="1"/>
  <c r="N128" i="1"/>
  <c r="J128" i="1"/>
  <c r="G128" i="1"/>
  <c r="N127" i="1"/>
  <c r="J127" i="1"/>
  <c r="G127" i="1"/>
  <c r="N126" i="1"/>
  <c r="J126" i="1"/>
  <c r="G126" i="1"/>
  <c r="N125" i="1"/>
  <c r="J125" i="1"/>
  <c r="G125" i="1"/>
  <c r="N124" i="1"/>
  <c r="J124" i="1"/>
  <c r="G124" i="1"/>
  <c r="N123" i="1"/>
  <c r="J123" i="1"/>
  <c r="G123" i="1"/>
  <c r="N122" i="1"/>
  <c r="J122" i="1"/>
  <c r="G122" i="1"/>
  <c r="N121" i="1"/>
  <c r="J121" i="1"/>
  <c r="G121" i="1"/>
  <c r="N120" i="1"/>
  <c r="J120" i="1"/>
  <c r="G120" i="1"/>
  <c r="N119" i="1"/>
  <c r="J119" i="1"/>
  <c r="G119" i="1"/>
  <c r="N118" i="1"/>
  <c r="J118" i="1"/>
  <c r="G118" i="1"/>
  <c r="N117" i="1"/>
  <c r="J117" i="1"/>
  <c r="G117" i="1"/>
  <c r="N116" i="1"/>
  <c r="J116" i="1"/>
  <c r="G116" i="1"/>
  <c r="N115" i="1"/>
  <c r="J115" i="1"/>
  <c r="G115" i="1"/>
  <c r="N114" i="1"/>
  <c r="J114" i="1"/>
  <c r="G114" i="1"/>
  <c r="N113" i="1"/>
  <c r="J113" i="1"/>
  <c r="G113" i="1"/>
  <c r="N112" i="1"/>
  <c r="J112" i="1"/>
  <c r="G112" i="1"/>
  <c r="N111" i="1"/>
  <c r="J111" i="1"/>
  <c r="G111" i="1"/>
  <c r="N110" i="1"/>
  <c r="J110" i="1"/>
  <c r="G110" i="1"/>
  <c r="N109" i="1"/>
  <c r="J109" i="1"/>
  <c r="G109" i="1"/>
  <c r="N108" i="1"/>
  <c r="J108" i="1"/>
  <c r="G108" i="1"/>
  <c r="N107" i="1"/>
  <c r="J107" i="1"/>
  <c r="G107" i="1"/>
  <c r="N106" i="1"/>
  <c r="J106" i="1"/>
  <c r="G106" i="1"/>
  <c r="N105" i="1"/>
  <c r="J105" i="1"/>
  <c r="G105" i="1"/>
  <c r="N104" i="1"/>
  <c r="J104" i="1"/>
  <c r="G104" i="1"/>
  <c r="N103" i="1"/>
  <c r="J103" i="1"/>
  <c r="G103" i="1"/>
  <c r="N102" i="1"/>
  <c r="J102" i="1"/>
  <c r="G102" i="1"/>
  <c r="N101" i="1"/>
  <c r="J101" i="1"/>
  <c r="G101" i="1"/>
  <c r="N100" i="1"/>
  <c r="J100" i="1"/>
  <c r="G100" i="1"/>
  <c r="N99" i="1"/>
  <c r="J99" i="1"/>
  <c r="G99" i="1"/>
  <c r="N98" i="1"/>
  <c r="J98" i="1"/>
  <c r="G98" i="1"/>
  <c r="N97" i="1"/>
  <c r="J97" i="1"/>
  <c r="G97" i="1"/>
  <c r="N96" i="1"/>
  <c r="J96" i="1"/>
  <c r="G96" i="1"/>
  <c r="N95" i="1"/>
  <c r="J95" i="1"/>
  <c r="G95" i="1"/>
  <c r="N94" i="1"/>
  <c r="J94" i="1"/>
  <c r="G94" i="1"/>
  <c r="N93" i="1"/>
  <c r="J93" i="1"/>
  <c r="G93" i="1"/>
  <c r="N92" i="1"/>
  <c r="J92" i="1"/>
  <c r="G92" i="1"/>
  <c r="N91" i="1"/>
  <c r="J91" i="1"/>
  <c r="G91" i="1"/>
  <c r="N90" i="1"/>
  <c r="J90" i="1"/>
  <c r="G90" i="1"/>
  <c r="N89" i="1"/>
  <c r="J89" i="1"/>
  <c r="G89" i="1"/>
  <c r="N88" i="1"/>
  <c r="J88" i="1"/>
  <c r="G88" i="1"/>
  <c r="N87" i="1"/>
  <c r="J87" i="1"/>
  <c r="G87" i="1"/>
  <c r="N86" i="1"/>
  <c r="J86" i="1"/>
  <c r="G86" i="1"/>
  <c r="N85" i="1"/>
  <c r="J85" i="1"/>
  <c r="G85" i="1"/>
  <c r="N84" i="1"/>
  <c r="J84" i="1"/>
  <c r="G84" i="1"/>
  <c r="N83" i="1"/>
  <c r="J83" i="1"/>
  <c r="G83" i="1"/>
  <c r="N82" i="1"/>
  <c r="J82" i="1"/>
  <c r="G82" i="1"/>
  <c r="N81" i="1"/>
  <c r="J81" i="1"/>
  <c r="G81" i="1"/>
  <c r="N80" i="1"/>
  <c r="J80" i="1"/>
  <c r="G80" i="1"/>
  <c r="N79" i="1"/>
  <c r="J79" i="1"/>
  <c r="G79" i="1"/>
  <c r="N78" i="1"/>
  <c r="J78" i="1"/>
  <c r="G78" i="1"/>
  <c r="N77" i="1"/>
  <c r="J77" i="1"/>
  <c r="G77" i="1"/>
  <c r="N76" i="1"/>
  <c r="J76" i="1"/>
  <c r="G76" i="1"/>
  <c r="N75" i="1"/>
  <c r="J75" i="1"/>
  <c r="G75" i="1"/>
  <c r="N74" i="1"/>
  <c r="J74" i="1"/>
  <c r="G74" i="1"/>
  <c r="N73" i="1"/>
  <c r="J73" i="1"/>
  <c r="G73" i="1"/>
  <c r="N72" i="1"/>
  <c r="J72" i="1"/>
  <c r="G72" i="1"/>
  <c r="J71" i="1"/>
  <c r="G71" i="1"/>
  <c r="N70" i="1"/>
  <c r="J70" i="1"/>
  <c r="G70" i="1"/>
  <c r="N69" i="1"/>
  <c r="J69" i="1"/>
  <c r="G69" i="1"/>
  <c r="N68" i="1"/>
  <c r="J68" i="1"/>
  <c r="G68" i="1"/>
  <c r="N67" i="1"/>
  <c r="J67" i="1"/>
  <c r="G67" i="1"/>
  <c r="N66" i="1"/>
  <c r="J66" i="1"/>
  <c r="G66" i="1"/>
  <c r="N65" i="1"/>
  <c r="J65" i="1"/>
  <c r="G65" i="1"/>
  <c r="N64" i="1"/>
  <c r="J64" i="1"/>
  <c r="G64" i="1"/>
  <c r="N63" i="1"/>
  <c r="J63" i="1"/>
  <c r="G63" i="1"/>
  <c r="N62" i="1"/>
  <c r="J62" i="1"/>
  <c r="G62" i="1"/>
  <c r="N61" i="1"/>
  <c r="J61" i="1"/>
  <c r="G61" i="1"/>
  <c r="N46" i="1"/>
  <c r="J46" i="1"/>
  <c r="N45" i="1"/>
  <c r="J45" i="1"/>
  <c r="N42" i="1"/>
  <c r="J42" i="1"/>
  <c r="G42" i="1"/>
  <c r="N41" i="1"/>
  <c r="J41" i="1"/>
  <c r="G41" i="1"/>
  <c r="N40" i="1"/>
  <c r="J40" i="1"/>
  <c r="G40" i="1"/>
  <c r="N39" i="1"/>
  <c r="J39" i="1"/>
  <c r="G39" i="1"/>
  <c r="N38" i="1"/>
  <c r="J38" i="1"/>
  <c r="G38" i="1"/>
  <c r="N37" i="1"/>
  <c r="J37" i="1"/>
  <c r="G37" i="1"/>
  <c r="N36" i="1"/>
  <c r="J36" i="1"/>
  <c r="G36" i="1"/>
  <c r="N35" i="1"/>
  <c r="J35" i="1"/>
  <c r="G35" i="1"/>
  <c r="N34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</calcChain>
</file>

<file path=xl/sharedStrings.xml><?xml version="1.0" encoding="utf-8"?>
<sst xmlns="http://schemas.openxmlformats.org/spreadsheetml/2006/main" count="1876" uniqueCount="455">
  <si>
    <t>Tipo</t>
  </si>
  <si>
    <t>Tipo2</t>
  </si>
  <si>
    <t>Empresa</t>
  </si>
  <si>
    <t>Fecha de revisión</t>
  </si>
  <si>
    <t>Mes</t>
  </si>
  <si>
    <t>PSP_TIN</t>
  </si>
  <si>
    <t>PSP_TIN concatenado</t>
  </si>
  <si>
    <t>Estado</t>
  </si>
  <si>
    <t>Public ID</t>
  </si>
  <si>
    <t>inv_id concatenado</t>
  </si>
  <si>
    <t>PEN</t>
  </si>
  <si>
    <t>Monto voucher</t>
  </si>
  <si>
    <t>Monto Kashio</t>
  </si>
  <si>
    <t>Balance</t>
  </si>
  <si>
    <t>CANAL</t>
  </si>
  <si>
    <t>Banco</t>
  </si>
  <si>
    <t>Nro OP</t>
  </si>
  <si>
    <t>VOUCHER_FECHA</t>
  </si>
  <si>
    <t>Nuevo estado</t>
  </si>
  <si>
    <t>RONDA</t>
  </si>
  <si>
    <t>Sustento</t>
  </si>
  <si>
    <t>Columna1</t>
  </si>
  <si>
    <t>Columna2</t>
  </si>
  <si>
    <t>Columna3</t>
  </si>
  <si>
    <t>Columna4</t>
  </si>
  <si>
    <t>Columna5</t>
  </si>
  <si>
    <t>Ticket</t>
  </si>
  <si>
    <t>Apuesta total</t>
  </si>
  <si>
    <t>Expirado</t>
  </si>
  <si>
    <t>inv_XgdrAFitNUPbJ9ySkihbYL</t>
  </si>
  <si>
    <t>WEB</t>
  </si>
  <si>
    <t>BCP</t>
  </si>
  <si>
    <t>PAGADO</t>
  </si>
  <si>
    <t>BUSINESS CONSULTING &amp; INCOME</t>
  </si>
  <si>
    <t>Nuevo</t>
  </si>
  <si>
    <t>inv_8LHVRZJXMM2KSrFaXzWi2G</t>
  </si>
  <si>
    <t>inv_LkhfknvUEAmMSWhakCDJwn</t>
  </si>
  <si>
    <t>ALO CREDIT</t>
  </si>
  <si>
    <t>inv_AnBvuFE3m46ricb3LdwSc2</t>
  </si>
  <si>
    <t xml:space="preserve">Reg.interna </t>
  </si>
  <si>
    <t>EECC</t>
  </si>
  <si>
    <t>PATRIMONIO EN FIDEICOMISO MIGRANTE-D. LEG. N°861</t>
  </si>
  <si>
    <t>8 - Vencido</t>
  </si>
  <si>
    <t>inv_dFio7H6arApS6RgzYxXgnS</t>
  </si>
  <si>
    <t>REMAX PERU</t>
  </si>
  <si>
    <t>inv_Qq8UjtpQrzMCCoahAPTYR5</t>
  </si>
  <si>
    <t>USD</t>
  </si>
  <si>
    <t>CONDOMINIO VILLA LOS MOLLES</t>
  </si>
  <si>
    <t>inv_GKVQ4kM78PPCUzrw2siZgF</t>
  </si>
  <si>
    <t>inv_8Ydm6JJnuMzVJs8duCFYAz</t>
  </si>
  <si>
    <t>KRECE</t>
  </si>
  <si>
    <t>inv_iFhGHAVmtJTd4Zjt8Rg7x2</t>
  </si>
  <si>
    <t>CREDIMINUTO PERU S.A.C.</t>
  </si>
  <si>
    <t>inv_bokjL62zpStLeoxxq5ctMB</t>
  </si>
  <si>
    <t>1 - Nuevo</t>
  </si>
  <si>
    <t>inv_oUme8csUuEBXE4KZpSuFHn</t>
  </si>
  <si>
    <t>IEP SAN RAFAEL</t>
  </si>
  <si>
    <t>inv_4YM2tbz4qLpqhpe4sUgtHX</t>
  </si>
  <si>
    <t xml:space="preserve">EDIFICIO LOS ROBLES C </t>
  </si>
  <si>
    <t>inv_4VwiSTtzhw2MUZMaZSMb9d</t>
  </si>
  <si>
    <t>KEISAI S.A.C</t>
  </si>
  <si>
    <t>inv_E96V9a8nuTnhLwi2AMgrjq</t>
  </si>
  <si>
    <t>PAGSMILE</t>
  </si>
  <si>
    <t>inv_WwMyYkEJ95Lxvi7ZjHwVXs</t>
  </si>
  <si>
    <t>DOCTOR SOL OLD</t>
  </si>
  <si>
    <t>inv_HdpVUyLiAWZ8YePeRvYg5C</t>
  </si>
  <si>
    <t>inv_Xsj9LLFqaHreMhxQvGXe6s</t>
  </si>
  <si>
    <t>inv_3BrNLcwxgZ3ESQ9z8D5H43</t>
  </si>
  <si>
    <t>inv_6oejgE4gGVGHaSNatU4wwV</t>
  </si>
  <si>
    <t>inv_F2QSQ5tsDsyZKhzxVPNk6w</t>
  </si>
  <si>
    <t>inv_FH5xiGxDdu9QfLdAmeMX96</t>
  </si>
  <si>
    <t>inv_gGWoyrpzRHQz5sFSMgKSuf</t>
  </si>
  <si>
    <t>inv_EXqwANddXL7XkqsZny38K2</t>
  </si>
  <si>
    <t>inv_cDRcVo7JvNAmmM4bVhXxSB</t>
  </si>
  <si>
    <t>inv_gg3RCmBkZoQA2wjUWBww9C</t>
  </si>
  <si>
    <t>INSWITCH SAC 2</t>
  </si>
  <si>
    <t>inv_3aipmAcY4UHqs3upeSwUsL</t>
  </si>
  <si>
    <t>inv_BB4vqWP5orjpowQ9vUr2dy</t>
  </si>
  <si>
    <t>inv_betRqcZgGQyrUtusgHgYjP</t>
  </si>
  <si>
    <t>Pay Retailers</t>
  </si>
  <si>
    <t>inv_GpWE2tv3PQE8vXkSK4UjBQ</t>
  </si>
  <si>
    <t>inv_jReaU2DxvhwM6HoFBGWv77</t>
  </si>
  <si>
    <t>inv_42x2xzs73svK5ALJkoNHRZ</t>
  </si>
  <si>
    <t>inv_BJoU9MNhhbBk98gbuBBk6W</t>
  </si>
  <si>
    <t>DOCTOR SOL</t>
  </si>
  <si>
    <t>inv_PxkHasi3xzEcegi88t7wvK</t>
  </si>
  <si>
    <t>Inswitch</t>
  </si>
  <si>
    <t>inv_Tb4LYNtofJQFsEtQc34aFT</t>
  </si>
  <si>
    <t>inv_GNopfRFoew3K8CqYATkR5p</t>
  </si>
  <si>
    <t>inv_EkzEpLKDDfPMU5sjDPjpsU</t>
  </si>
  <si>
    <t>inv_KF6JTTMqhyT64teXwkw4GZ</t>
  </si>
  <si>
    <t>inv_Aef6YoKHH5He7qusQuqXWR</t>
  </si>
  <si>
    <t>inv_Bkj4xSnrstzuRuyTABYgy2</t>
  </si>
  <si>
    <t>inv_mrh4yCADKaup4TNEr6aKZ4</t>
  </si>
  <si>
    <t>OLIMPO</t>
  </si>
  <si>
    <t>inv_7VcqrpyugzcY8HHqDPb2Xr</t>
  </si>
  <si>
    <t>Vencido</t>
  </si>
  <si>
    <t>inv_X4uKiF2tYN7Yn2KDB7iKpH</t>
  </si>
  <si>
    <t>inv_4TLpXXkgfVYocc9QNsMKDN</t>
  </si>
  <si>
    <t>inv_3mMsZHPf5ZLoMcJrGzzEcD</t>
  </si>
  <si>
    <t>inv_WebNye6bbjgZgcvdK42pYA</t>
  </si>
  <si>
    <t>260028818278</t>
  </si>
  <si>
    <t>inv_nzHm5pGKBE4gFmEAGFe9WZ</t>
  </si>
  <si>
    <t>00857501</t>
  </si>
  <si>
    <t>260109616841</t>
  </si>
  <si>
    <t>inv_FWmuDno63ip5ttGd6aneZo</t>
  </si>
  <si>
    <t>00075357</t>
  </si>
  <si>
    <t>260109616944</t>
  </si>
  <si>
    <t>inv_dDzMZyskCdnCKBX7dGiFyD</t>
  </si>
  <si>
    <t>00075204</t>
  </si>
  <si>
    <t>260109616987</t>
  </si>
  <si>
    <t>inv_kj8U3x3V8wW6JPveTaL27K</t>
  </si>
  <si>
    <t>00078032</t>
  </si>
  <si>
    <t>260109617102</t>
  </si>
  <si>
    <t>inv_Enu6xabCE8ojvWuvtZZz5X</t>
  </si>
  <si>
    <t>01201326</t>
  </si>
  <si>
    <t>260109617173</t>
  </si>
  <si>
    <t>inv_7XPbN2mUhGsWuP5ztVsEWR</t>
  </si>
  <si>
    <t>01101954</t>
  </si>
  <si>
    <t>Meridianbet</t>
  </si>
  <si>
    <t>260109617556</t>
  </si>
  <si>
    <t>inv_3xtgnuuFvPz5Di5Uq83Cc3</t>
  </si>
  <si>
    <t>03101240</t>
  </si>
  <si>
    <t>260109617747</t>
  </si>
  <si>
    <t>inv_EWJY5UFGHZmVn8dqDm5gux</t>
  </si>
  <si>
    <t>01900638</t>
  </si>
  <si>
    <t>260109617857</t>
  </si>
  <si>
    <t>inv_HWwc2ixdPiQw4yVcZ3uVke</t>
  </si>
  <si>
    <t>00072690</t>
  </si>
  <si>
    <t>260109617889</t>
  </si>
  <si>
    <t>inv_EaZhRnkVUsTNKxeKVxT4AW</t>
  </si>
  <si>
    <t>00081512</t>
  </si>
  <si>
    <t>260109617913</t>
  </si>
  <si>
    <t>inv_EqjGHXoszaNMfQTyTkDqSG</t>
  </si>
  <si>
    <t>00601376</t>
  </si>
  <si>
    <t>260109618078</t>
  </si>
  <si>
    <t>inv_PWxuuZ2KUnAexM6ocdqQWq</t>
  </si>
  <si>
    <t>00075715</t>
  </si>
  <si>
    <t>260109618129</t>
  </si>
  <si>
    <t>inv_WZX2N47xKanY3tw62ygfBx</t>
  </si>
  <si>
    <t>02100667</t>
  </si>
  <si>
    <t>260109618185</t>
  </si>
  <si>
    <t>inv_mkpKUwoJTRTgmeDUE3ALps</t>
  </si>
  <si>
    <t>01801202</t>
  </si>
  <si>
    <t>inv_hUPdTS4ZhmmpDh2yRyyGbW</t>
  </si>
  <si>
    <t>inv_V4XaFVA7NHDBd4CdbAZXcN</t>
  </si>
  <si>
    <t>386258</t>
  </si>
  <si>
    <t>inv_mhivPcCfuaMmgKoHSsDqYu</t>
  </si>
  <si>
    <t>669448</t>
  </si>
  <si>
    <t>Synapsis Transferencias</t>
  </si>
  <si>
    <t>inv_QiHFGqMYgpw2MkBxRrVuCk</t>
  </si>
  <si>
    <t>832041</t>
  </si>
  <si>
    <t>inv_8E8yZiDoSo7T9paWKjoDnz</t>
  </si>
  <si>
    <t>inv_QTo4GWP8Ahany6vy6oQAu7</t>
  </si>
  <si>
    <t>15/01/2026</t>
  </si>
  <si>
    <t>inv_fWT9zQvRNQbWN63ZiBfsot</t>
  </si>
  <si>
    <t>14/01/2026</t>
  </si>
  <si>
    <t>6 - Expirado</t>
  </si>
  <si>
    <t>inv_Stxh3iELVpYUpJbPTTe4Fg</t>
  </si>
  <si>
    <t>13/01/2026</t>
  </si>
  <si>
    <t>inv_kanTsb5WJ8vyaaKwYuxZMr</t>
  </si>
  <si>
    <t>inv_jGNVCJnjDg28Bw4qHKZbTs</t>
  </si>
  <si>
    <t>inv_g2WVXKhvgrrbmbHsMCcv4D</t>
  </si>
  <si>
    <t>BBVA</t>
  </si>
  <si>
    <t>inv_f6GnxwMNCq4nVDNuaDk5oS</t>
  </si>
  <si>
    <t>260178250153</t>
  </si>
  <si>
    <t>inv_3SmEJah4ALWrC8bjJnjZqm</t>
  </si>
  <si>
    <t>260178247987</t>
  </si>
  <si>
    <t>inv_hui5JGEsTS5NcSZuCy4LEW</t>
  </si>
  <si>
    <t>260178242129</t>
  </si>
  <si>
    <t>inv_BhC8g84xnE2ubuCM6A5ztR</t>
  </si>
  <si>
    <t>inv_GJnynaZjh9Ztbz35Dpaj9D</t>
  </si>
  <si>
    <t>260178251236</t>
  </si>
  <si>
    <t>inv_LTZujULFhHrjXhtTRJ3VW9</t>
  </si>
  <si>
    <t>260178231457</t>
  </si>
  <si>
    <t>inv_hNkRw48wYo5ZQMcYz9BUYt</t>
  </si>
  <si>
    <t>260178222434</t>
  </si>
  <si>
    <t>inv_k5EHwKt6q2UGeKJaQNRrBo</t>
  </si>
  <si>
    <t>260178250146</t>
  </si>
  <si>
    <t>inv_6oMebBbssAiTb6vU9vvX3u</t>
  </si>
  <si>
    <t>260178260505</t>
  </si>
  <si>
    <t>inv_AyJgftCxQzt7NjB33GZM45</t>
  </si>
  <si>
    <t>260178261758</t>
  </si>
  <si>
    <t>inv_WsSaujdZiyzYopFdU8RcoS</t>
  </si>
  <si>
    <t>260178244225</t>
  </si>
  <si>
    <t>inv_kTr3Q6dvFpuPLKnq6wa5Mg</t>
  </si>
  <si>
    <t>260178238236</t>
  </si>
  <si>
    <t>inv_GfaFbYHzcJ6uUWAXhjfsaQ</t>
  </si>
  <si>
    <t>260178223859</t>
  </si>
  <si>
    <t>inv_HTjvZ48CboAwjpSAMH5TvF</t>
  </si>
  <si>
    <t>260178244278</t>
  </si>
  <si>
    <t>inv_nGtucoYfNUdrynCmtR3Xrn</t>
  </si>
  <si>
    <t>260178262415</t>
  </si>
  <si>
    <t>inv_EgFYoC6MoxgX3nG5w4c2v5</t>
  </si>
  <si>
    <t>260178265206</t>
  </si>
  <si>
    <t>inv_5bgYqhj8ZLsEgKdzjDeEcY</t>
  </si>
  <si>
    <t>260178235334</t>
  </si>
  <si>
    <t>inv_WYTcQXrSnAFLixeyqp4Joe</t>
  </si>
  <si>
    <t>260178240016</t>
  </si>
  <si>
    <t>inv_K9XBWdp6sLrUj4WBVoagum</t>
  </si>
  <si>
    <t>260178224789</t>
  </si>
  <si>
    <t>inv_8o5oRTVcbXNRZxszAUdts4</t>
  </si>
  <si>
    <t>260178220944</t>
  </si>
  <si>
    <t>inv_8d8byBxMoYQeyiTqaK97QU</t>
  </si>
  <si>
    <t>260178245316</t>
  </si>
  <si>
    <t>inv_LRtApY6G7AmMyjiSMNtKn3</t>
  </si>
  <si>
    <t>260178229143</t>
  </si>
  <si>
    <t>inv_4FKwUUU48mgBmNNV8eu3CE</t>
  </si>
  <si>
    <t>260178225715</t>
  </si>
  <si>
    <t>inv_8rmGJVqfpqBR4D5pXVvVVL</t>
  </si>
  <si>
    <t>260178311314</t>
  </si>
  <si>
    <t>2 - Nuevo</t>
  </si>
  <si>
    <t>inv_D37FYEyd5YgiVXNFyjU7x5</t>
  </si>
  <si>
    <t>260178309157</t>
  </si>
  <si>
    <t>3 - Nuevo</t>
  </si>
  <si>
    <t>inv_7t4vwDMaumiHQ7rxwehqJf</t>
  </si>
  <si>
    <t>260178292026</t>
  </si>
  <si>
    <t>4 - Nuevo</t>
  </si>
  <si>
    <t>inv_L9FMHhxQSqH5houUYddEZm</t>
  </si>
  <si>
    <t>260178286797</t>
  </si>
  <si>
    <t>5 - Nuevo</t>
  </si>
  <si>
    <t>inv_LepMLWrX8AdEYaN6CLF6jK</t>
  </si>
  <si>
    <t>MERIDIANBET Transferencias</t>
  </si>
  <si>
    <t>260178262056</t>
  </si>
  <si>
    <t>6 - Nuevo</t>
  </si>
  <si>
    <t>inv_cFpChDKFaFhc7r6mc7Fhym</t>
  </si>
  <si>
    <t>260178271873</t>
  </si>
  <si>
    <t>7 - Nuevo</t>
  </si>
  <si>
    <t>inv_HSx7i97WB9sYfwhTTQscwt</t>
  </si>
  <si>
    <t>260178313225</t>
  </si>
  <si>
    <t>8 - Nuevo</t>
  </si>
  <si>
    <t>inv_HogovmYGs4RwjjoBVeYiFC</t>
  </si>
  <si>
    <t>260178310221</t>
  </si>
  <si>
    <t>9 - Nuevo</t>
  </si>
  <si>
    <t>inv_SJnzS9KpRAr3qZcGd3dwRe</t>
  </si>
  <si>
    <t>260178306664</t>
  </si>
  <si>
    <t>10 - Nuevo</t>
  </si>
  <si>
    <t>inv_7e8fT4JHhzjwFfsR96udK3</t>
  </si>
  <si>
    <t>260178305977</t>
  </si>
  <si>
    <t>11 - Nuevo</t>
  </si>
  <si>
    <t>inv_MqpCnzSNQRiALbeZZVbPUp</t>
  </si>
  <si>
    <t>260178295059</t>
  </si>
  <si>
    <t>12 - Nuevo</t>
  </si>
  <si>
    <t>inv_3Vx8Ed5FYegv4VpSo5SspE</t>
  </si>
  <si>
    <t>260178290177</t>
  </si>
  <si>
    <t>13 - Nuevo</t>
  </si>
  <si>
    <t>inv_ACeQSji7mDF8fYgrTGxR89</t>
  </si>
  <si>
    <t>260178279961</t>
  </si>
  <si>
    <t>14 - Nuevo</t>
  </si>
  <si>
    <t>inv_9X6Jy65ngyw4mJirZxxJKm</t>
  </si>
  <si>
    <t>260178279168</t>
  </si>
  <si>
    <t>15 - Nuevo</t>
  </si>
  <si>
    <t>inv_NsfBqGM2wbS9EehQcXUjWM</t>
  </si>
  <si>
    <t>260178245866</t>
  </si>
  <si>
    <t>16 - Nuevo</t>
  </si>
  <si>
    <t>inv_VqxUNFdv5JQe9D35DQ6ubL</t>
  </si>
  <si>
    <t>260178309129</t>
  </si>
  <si>
    <t>17 - Nuevo</t>
  </si>
  <si>
    <t>inv_44KUyLnxakRo5ZiuqrnrbQ</t>
  </si>
  <si>
    <t>260178290224</t>
  </si>
  <si>
    <t>18 - Nuevo</t>
  </si>
  <si>
    <t>inv_feoAuf6PFJ84P8n22SFdrX</t>
  </si>
  <si>
    <t>260178284672</t>
  </si>
  <si>
    <t>19 - Nuevo</t>
  </si>
  <si>
    <t>inv_msinm4s9TQjPXxg3FYFKcS</t>
  </si>
  <si>
    <t>260178277811</t>
  </si>
  <si>
    <t>20 - Nuevo</t>
  </si>
  <si>
    <t>inv_jZ4kphFMAbgdDSbCen3ZgQ</t>
  </si>
  <si>
    <t>260178264989</t>
  </si>
  <si>
    <t>21 - Nuevo</t>
  </si>
  <si>
    <t>inv_5LoBbRnhTLdzSsZXfKWeyK</t>
  </si>
  <si>
    <t>260178282243</t>
  </si>
  <si>
    <t>22 - Nuevo</t>
  </si>
  <si>
    <t>inv_QAtuUr8SEoZVFmPWPR4uMi</t>
  </si>
  <si>
    <t>260178224492</t>
  </si>
  <si>
    <t>23 - Nuevo</t>
  </si>
  <si>
    <t>inv_QQbwEpaSmhUPrpwLUoxnNV</t>
  </si>
  <si>
    <t>260178281437</t>
  </si>
  <si>
    <t>24 - Nuevo</t>
  </si>
  <si>
    <t>inv_bCi3M4zfEzM83Qc8p8ZG9n</t>
  </si>
  <si>
    <t>260178266891</t>
  </si>
  <si>
    <t>25 - Nuevo</t>
  </si>
  <si>
    <t>inv_FpvwBxUErC4aBxbXJgnd3g</t>
  </si>
  <si>
    <t>260178311073</t>
  </si>
  <si>
    <t>26 - Nuevo</t>
  </si>
  <si>
    <t>inv_kVGDmY7b9DBnTxZttKpRyM</t>
  </si>
  <si>
    <t>GANA EXPRESS TRANSFERENCIAS</t>
  </si>
  <si>
    <t>260178324141</t>
  </si>
  <si>
    <t>inv_ADayhFgG87Tp7bJmxpGa4G</t>
  </si>
  <si>
    <t>260178265456</t>
  </si>
  <si>
    <t>inv_YJVrzjQSimkW46iU2r5nJE</t>
  </si>
  <si>
    <t>260178317888</t>
  </si>
  <si>
    <t>inv_5XjAA8u23zZxGJ7ruuX4yv</t>
  </si>
  <si>
    <t>260178326322</t>
  </si>
  <si>
    <t>inv_3dWWt53Kv445umtCxmJueS</t>
  </si>
  <si>
    <t>260178251769</t>
  </si>
  <si>
    <t>inv_evvWpk99XERpXvPkU6FYsG</t>
  </si>
  <si>
    <t>260178320558</t>
  </si>
  <si>
    <t>inv_JJSj2DFHaEDWUdp7Pay4Pk</t>
  </si>
  <si>
    <t>260178320428</t>
  </si>
  <si>
    <t>inv_c966p8K2VQ7LjUC66rYP8V</t>
  </si>
  <si>
    <t>260178262617</t>
  </si>
  <si>
    <t>inv_buk3VLJat7QUseD4TCeYUq</t>
  </si>
  <si>
    <t>260178356321</t>
  </si>
  <si>
    <t>inv_cVhmJZPw3Rr57ZouqmGK7X</t>
  </si>
  <si>
    <t>260178332873</t>
  </si>
  <si>
    <t>inv_8VZqw6Kej9eyzsiAswjbKa</t>
  </si>
  <si>
    <t>260178342759</t>
  </si>
  <si>
    <t>inv_FjWyDmoeYFEwyXLttSnBbF</t>
  </si>
  <si>
    <t>260178354889</t>
  </si>
  <si>
    <t>inv_dpxQEaBH8EKNX685WgQ7x5</t>
  </si>
  <si>
    <t>260178357544</t>
  </si>
  <si>
    <t>inv_SFqHktJhsW7KRGhEJSoLDF</t>
  </si>
  <si>
    <t>260178365171</t>
  </si>
  <si>
    <t>inv_csuhgvbsgPHsWaSMDc7yDM</t>
  </si>
  <si>
    <t>260178370681</t>
  </si>
  <si>
    <t>inv_K6VoFEEVDyeDjDtEpvFc39</t>
  </si>
  <si>
    <t>260178337476</t>
  </si>
  <si>
    <t>inv_2HCCTR8FpbGLPp7sHycxBT</t>
  </si>
  <si>
    <t>260178340766</t>
  </si>
  <si>
    <t>inv_G5kUidTbrncVcT5Et7kHmj</t>
  </si>
  <si>
    <t>260178347212</t>
  </si>
  <si>
    <t>inv_MexnmLsbofsqzKmeGGTmzS</t>
  </si>
  <si>
    <t>260178349273</t>
  </si>
  <si>
    <t>inv_jRUGBjzsoMEvU65fUFy5Fz</t>
  </si>
  <si>
    <t>260178356767</t>
  </si>
  <si>
    <t>inv_i58U8bJAoMkoTKCDGrk3WP</t>
  </si>
  <si>
    <t>260178351799</t>
  </si>
  <si>
    <t>inv_B2WWBUPsgf9TGrNsWNTDwf</t>
  </si>
  <si>
    <t>260178369042</t>
  </si>
  <si>
    <t>inv_99Nfjk2WgpaZpv8LKukkw5</t>
  </si>
  <si>
    <t>260178352787</t>
  </si>
  <si>
    <t>inv_TctwomtxBRJguM7UWZa6KS</t>
  </si>
  <si>
    <t>260178367423</t>
  </si>
  <si>
    <t>inv_9SdvjwTaYws7VwLb9wzAEG</t>
  </si>
  <si>
    <t>260178352156</t>
  </si>
  <si>
    <t>inv_8tKLcxawFNWUhWHbAJxt8a</t>
  </si>
  <si>
    <t>inv_T5MrLEZLqpN4cbcdCBj8w6</t>
  </si>
  <si>
    <t>COLEGIO MARIAREINA MARIANISTAS</t>
  </si>
  <si>
    <t>inv_68cq9F528hXVYoU3zLhhSr</t>
  </si>
  <si>
    <t>16/01/2026</t>
  </si>
  <si>
    <t>inv_4HVQgTftMySz85QDkdVVyh</t>
  </si>
  <si>
    <t>inv_fBtwCJtofSfNe6EhhPSzoq</t>
  </si>
  <si>
    <t>inv_MP965xA4kMJ8CNBVLasqVP</t>
  </si>
  <si>
    <t>inv_Ei3M5km2RbV3k8v69aRbVK</t>
  </si>
  <si>
    <t>inv_n6gjMWr8Q8TLV7mnkJdNGd</t>
  </si>
  <si>
    <t>inv_EcQQ4UoDXNnPQB6CYpSRQG</t>
  </si>
  <si>
    <t>inv_jPoZcN8S9PC9r5h5UehuPQ</t>
  </si>
  <si>
    <t>inv_ZusTrK6mKZYTBtHvFLtwnL</t>
  </si>
  <si>
    <t>inv_AQizznT9oXhncMmYMJjRDM</t>
  </si>
  <si>
    <t>inv_AJeNVruRNUD6HLoqYRFtD9</t>
  </si>
  <si>
    <t>inv_aKbfqdZ5zzSzaUfsQWj49k</t>
  </si>
  <si>
    <t>502148</t>
  </si>
  <si>
    <t>inv_8NkeKpVZZqk3F6VyM2zW5y</t>
  </si>
  <si>
    <t>0004001695</t>
  </si>
  <si>
    <t>inv_9u2szoNVJDcTciEWgWuUM5</t>
  </si>
  <si>
    <t>inv_ac5pQYavccGA9CERprCmSt</t>
  </si>
  <si>
    <t>inv_AaTFsEu2eUZxA9KJXpyXgV</t>
  </si>
  <si>
    <t>inv_YZfiMUn76iMgi5ibcrAwrv</t>
  </si>
  <si>
    <t>inv_Fj9eJKV5S3UJMcMHNU2AWF</t>
  </si>
  <si>
    <t>inv_7F9ixzV5SBUNmMj2g6CKn8</t>
  </si>
  <si>
    <t>17/01/2026</t>
  </si>
  <si>
    <t>inv_hcf2dJfJxFRdSisdD6zNmN</t>
  </si>
  <si>
    <t>inv_cXkpc8UJL7KSsUGXvnnXzn</t>
  </si>
  <si>
    <t>inv_VLihiSBXTsSnMA7o95DjqG</t>
  </si>
  <si>
    <t>inv_oEKJsv7MXncEzYFfkbQDTt</t>
  </si>
  <si>
    <t>inv_cuiVGtDrzC5cVMzaGP4QfE</t>
  </si>
  <si>
    <t>CONDOMINIO LOS PRADOS DE CHACLACAYO</t>
  </si>
  <si>
    <t>inv_TnDxQP2xKSMSwRVpghgr3h</t>
  </si>
  <si>
    <t>EDIFICIO OCEANUS CASA CLUB</t>
  </si>
  <si>
    <t>inv_2Epg7M2C4AUURrCipMf2E6</t>
  </si>
  <si>
    <t>EDIFICIO BOUTIQUE 51</t>
  </si>
  <si>
    <t>inv_i26JMvhKYNotiBwJ7owmhT</t>
  </si>
  <si>
    <t>inv_QuJS986Lo5GmTVwhT4kY4K</t>
  </si>
  <si>
    <t>inv_8M7ibqHJyvpmhxozuoctNN</t>
  </si>
  <si>
    <t>inv_jpB9qiyAYFpxszwp9WygTA</t>
  </si>
  <si>
    <t>260235544666</t>
  </si>
  <si>
    <t>inv_8ddUAm9FNs8NcwNsQB7TNm</t>
  </si>
  <si>
    <t>412470</t>
  </si>
  <si>
    <t>260235564235</t>
  </si>
  <si>
    <t>inv_LUxkLFMFZgbmbVbyce4DwZ</t>
  </si>
  <si>
    <t>427646</t>
  </si>
  <si>
    <t>260235564208</t>
  </si>
  <si>
    <t>inv_L7D7aZAd4xNsud99UEYGKq</t>
  </si>
  <si>
    <t>427754</t>
  </si>
  <si>
    <t>inv_HTztRFL3zdDZtAEVHaQx5R</t>
  </si>
  <si>
    <t>inv_GBmqbDZg6em56Zetyd6nW3</t>
  </si>
  <si>
    <t>inv_KNotayqK5FnpttuFJ7HEYw</t>
  </si>
  <si>
    <t>inv_QbTWxCUhLWsQU69VE2mJJY</t>
  </si>
  <si>
    <t>inv_N9oDjEjWG4Fe4QREFmWXp6</t>
  </si>
  <si>
    <t>Fecha de voucher</t>
  </si>
  <si>
    <t>Tipo de billetera</t>
  </si>
  <si>
    <t>Id Único de Transacción</t>
  </si>
  <si>
    <t>Número de Pedido</t>
  </si>
  <si>
    <t>Código de Autorización</t>
  </si>
  <si>
    <t>Código de Acción</t>
  </si>
  <si>
    <t>Moneda</t>
  </si>
  <si>
    <t>Trama</t>
  </si>
  <si>
    <t>BET 4</t>
  </si>
  <si>
    <t>VhGYsztkVNM8PCjtBoUyJD</t>
  </si>
  <si>
    <t>YAPE</t>
  </si>
  <si>
    <t>000</t>
  </si>
  <si>
    <t>RONDAS</t>
  </si>
  <si>
    <t>EMPRESAS</t>
  </si>
  <si>
    <t>ARAMBURU 856 - ADESCORP</t>
  </si>
  <si>
    <t>BETSOFFICE, S.A.C.</t>
  </si>
  <si>
    <t>BONANZA</t>
  </si>
  <si>
    <t>Colegio Alpamayo</t>
  </si>
  <si>
    <t>Cond. Los Girasoles 4ta Etapa</t>
  </si>
  <si>
    <t>Condominio Parques del Callao – Torre A</t>
  </si>
  <si>
    <t>Condominio Villa Jacarandá</t>
  </si>
  <si>
    <t>COOPAC SAN MIGUEL</t>
  </si>
  <si>
    <t>Cooperativa San Isidro</t>
  </si>
  <si>
    <t>CUMBRE DE LA MOLINA MANAGER HOUSE</t>
  </si>
  <si>
    <t>Davy College</t>
  </si>
  <si>
    <t>Divina Misericordia</t>
  </si>
  <si>
    <t>Edificio 7 de junio</t>
  </si>
  <si>
    <t>Edificio Cuore</t>
  </si>
  <si>
    <t>EDIFICIO DAMASCO</t>
  </si>
  <si>
    <t>Edificio Grimaldo del Solar</t>
  </si>
  <si>
    <t>EDIFICIO LASSO</t>
  </si>
  <si>
    <t>EDIFICIO LAURELES 245</t>
  </si>
  <si>
    <t>Edificio Monte Flor</t>
  </si>
  <si>
    <t>Edificio Multifamiliar Gran Parque Roma</t>
  </si>
  <si>
    <t>EDIFICIO PARQUE CORDOVA</t>
  </si>
  <si>
    <t>EDIFICIO POINT SANTA BEATRIZ</t>
  </si>
  <si>
    <t>Edificio Vitale</t>
  </si>
  <si>
    <t>ELIM AREQUIPA</t>
  </si>
  <si>
    <t>EMINARIO BIBLICO ELIM</t>
  </si>
  <si>
    <t>GANGABET</t>
  </si>
  <si>
    <t>Inswitch 3</t>
  </si>
  <si>
    <t>Interlan Perú</t>
  </si>
  <si>
    <t>Jose Maria Arguedas</t>
  </si>
  <si>
    <t>Junta de Propietarios del Edificio Alto Prada</t>
  </si>
  <si>
    <t>KIPU</t>
  </si>
  <si>
    <t>LA FIJA – VIRTUAL PADLOCK</t>
  </si>
  <si>
    <t>MQ 700</t>
  </si>
  <si>
    <t>Online Gaming</t>
  </si>
  <si>
    <t>Openpay</t>
  </si>
  <si>
    <t>PENTAGOL</t>
  </si>
  <si>
    <t>PERUCRED DIGITAL FINANCE S.A.C.</t>
  </si>
  <si>
    <t>QAPY SAC</t>
  </si>
  <si>
    <t>QEMPO</t>
  </si>
  <si>
    <t>REMESAS 365</t>
  </si>
  <si>
    <t>REMESAS 366</t>
  </si>
  <si>
    <t>RIBO CAPITAL SAC</t>
  </si>
  <si>
    <t>SRL IEPNUESTRA SEÑORA DE LA MERCED</t>
  </si>
  <si>
    <t>SYNAPSIS</t>
  </si>
  <si>
    <t>TUNEGOCIO.PE</t>
  </si>
  <si>
    <t>University School Virtual B</t>
  </si>
  <si>
    <t>Valora Seguros</t>
  </si>
  <si>
    <t>WiFi Pro</t>
  </si>
  <si>
    <t>WIN</t>
  </si>
  <si>
    <t xml:space="preserve"> {'VOUCHER_PSP':'BCP','VOUCHER_PSP_TIN': '260030958153','VOUCHER_Currency': 'PEN','VOUCHER_Amount': 357,'VOUCHER_Operacion_PSP': '5569522','VOUCHER_FECHA':'46025'},</t>
  </si>
  <si>
    <t>fecha_revision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</si>
</sst>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1" fontId="1" fillId="2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/>
    <xf numFmtId="18" fontId="0" fillId="0" borderId="0" xfId="0" applyNumberFormat="1"/>
    <xf numFmtId="165" fontId="0" fillId="3" borderId="1" xfId="0" applyNumberFormat="1" applyFill="1" applyBorder="1"/>
    <xf numFmtId="0" fontId="2" fillId="3" borderId="1" xfId="0" applyFont="1" applyFill="1" applyBorder="1" applyAlignment="1">
      <alignment horizontal="center"/>
    </xf>
    <xf numFmtId="0" fontId="0" fillId="3" borderId="3" xfId="0" applyFill="1" applyBorder="1"/>
    <xf numFmtId="165" fontId="0" fillId="3" borderId="3" xfId="0" applyNumberFormat="1" applyFill="1" applyBorder="1"/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0" fillId="3" borderId="3" xfId="0" applyNumberFormat="1" applyFill="1" applyBorder="1"/>
    <xf numFmtId="0" fontId="0" fillId="3" borderId="4" xfId="0" applyFill="1" applyBorder="1"/>
    <xf numFmtId="49" fontId="0" fillId="3" borderId="1" xfId="0" applyNumberFormat="1" applyFill="1" applyBorder="1"/>
    <xf numFmtId="0" fontId="3" fillId="3" borderId="4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0" fontId="0" fillId="4" borderId="1" xfId="0" applyFill="1" applyBorder="1"/>
    <xf numFmtId="0" fontId="5" fillId="3" borderId="1" xfId="0" applyFont="1" applyFill="1" applyBorder="1"/>
    <xf numFmtId="165" fontId="0" fillId="3" borderId="1" xfId="0" applyNumberFormat="1" applyFill="1" applyBorder="1" applyAlignment="1">
      <alignment horizontal="right"/>
    </xf>
    <xf numFmtId="0" fontId="0" fillId="5" borderId="1" xfId="0" applyFill="1" applyBorder="1"/>
    <xf numFmtId="165" fontId="0" fillId="3" borderId="3" xfId="0" applyNumberFormat="1" applyFill="1" applyBorder="1" applyAlignment="1">
      <alignment horizontal="right"/>
    </xf>
    <xf numFmtId="0" fontId="1" fillId="2" borderId="4" xfId="0" applyFont="1" applyFill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5" xfId="0" applyFont="1" applyFill="1" applyBorder="1"/>
    <xf numFmtId="0" fontId="0" fillId="3" borderId="5" xfId="0" applyFill="1" applyBorder="1"/>
  </cellXfs>
  <cellStyles count="1">
    <cellStyle name="Normal" xfId="0" builtinId="0"/>
  </cellStyles>
  <dxfs count="83"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[$-F400]h:mm:ss\ AM/P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23</xdr:col>
      <xdr:colOff>809625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B00785-E193-A065-28CB-F65914D7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93025" y="190500"/>
          <a:ext cx="7058025" cy="152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23</xdr:col>
      <xdr:colOff>828675</xdr:colOff>
      <xdr:row>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F8A55F-D741-2F27-1095-7A2FE76FC8FC}"/>
            </a:ext>
            <a:ext uri="{147F2762-F138-4A5C-976F-8EAC2B608ADB}">
              <a16:predDERef xmlns:a16="http://schemas.microsoft.com/office/drawing/2014/main" pred="{74B00785-E193-A065-28CB-F65914D7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93025" y="381000"/>
          <a:ext cx="7077075" cy="1619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180975</xdr:rowOff>
    </xdr:from>
    <xdr:to>
      <xdr:col>23</xdr:col>
      <xdr:colOff>819150</xdr:colOff>
      <xdr:row>4</xdr:row>
      <xdr:rowOff>1905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D9E39E-0892-7916-166A-CBE6407CABDD}"/>
            </a:ext>
            <a:ext uri="{147F2762-F138-4A5C-976F-8EAC2B608ADB}">
              <a16:predDERef xmlns:a16="http://schemas.microsoft.com/office/drawing/2014/main" pred="{18F8A55F-D741-2F27-1095-7A2FE76FC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93025" y="561975"/>
          <a:ext cx="7067550" cy="19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923925</xdr:colOff>
      <xdr:row>4</xdr:row>
      <xdr:rowOff>28575</xdr:rowOff>
    </xdr:from>
    <xdr:to>
      <xdr:col>24</xdr:col>
      <xdr:colOff>3867150</xdr:colOff>
      <xdr:row>4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13BD92-2239-3C2E-5B5E-43DDC9F0CDC9}"/>
            </a:ext>
            <a:ext uri="{147F2762-F138-4A5C-976F-8EAC2B608ADB}">
              <a16:predDERef xmlns:a16="http://schemas.microsoft.com/office/drawing/2014/main" pred="{95D9E39E-0892-7916-166A-CBE6407CA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83500" y="790575"/>
          <a:ext cx="10963275" cy="1428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23</xdr:col>
      <xdr:colOff>828675</xdr:colOff>
      <xdr:row>33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91C8A0-CD5E-F803-42A0-A6A04569ECA8}"/>
            </a:ext>
            <a:ext uri="{147F2762-F138-4A5C-976F-8EAC2B608ADB}">
              <a16:predDERef xmlns:a16="http://schemas.microsoft.com/office/drawing/2014/main" pred="{C913BD92-2239-3C2E-5B5E-43DDC9F0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478750" y="952500"/>
          <a:ext cx="7077075" cy="5334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24</xdr:col>
      <xdr:colOff>11201400</xdr:colOff>
      <xdr:row>34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504E9D-E623-40BE-27F3-CE26FD5CDD74}"/>
            </a:ext>
            <a:ext uri="{147F2762-F138-4A5C-976F-8EAC2B608ADB}">
              <a16:predDERef xmlns:a16="http://schemas.microsoft.com/office/drawing/2014/main" pred="{2E91C8A0-CD5E-F803-42A0-A6A04569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478750" y="6286500"/>
          <a:ext cx="18288000" cy="19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923925</xdr:colOff>
      <xdr:row>42</xdr:row>
      <xdr:rowOff>28575</xdr:rowOff>
    </xdr:from>
    <xdr:to>
      <xdr:col>24</xdr:col>
      <xdr:colOff>8905875</xdr:colOff>
      <xdr:row>42</xdr:row>
      <xdr:rowOff>161925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4EBA92-E75C-397F-38D9-D90514FB98A6}"/>
            </a:ext>
            <a:ext uri="{147F2762-F138-4A5C-976F-8EAC2B608ADB}">
              <a16:predDERef xmlns:a16="http://schemas.microsoft.com/office/drawing/2014/main" pred="{C8504E9D-E623-40BE-27F3-CE26FD5C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69225" y="8029575"/>
          <a:ext cx="16002000" cy="133350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</xdr:colOff>
      <xdr:row>34</xdr:row>
      <xdr:rowOff>28575</xdr:rowOff>
    </xdr:from>
    <xdr:to>
      <xdr:col>23</xdr:col>
      <xdr:colOff>781050</xdr:colOff>
      <xdr:row>34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C9641B-C6C3-1DB3-EC23-C5D6FD559090}"/>
            </a:ext>
            <a:ext uri="{147F2762-F138-4A5C-976F-8EAC2B608ADB}">
              <a16:predDERef xmlns:a16="http://schemas.microsoft.com/office/drawing/2014/main" pred="{944EBA92-E75C-397F-38D9-D90514FB9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488275" y="6505575"/>
          <a:ext cx="7019925" cy="1143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23</xdr:col>
      <xdr:colOff>771525</xdr:colOff>
      <xdr:row>35</xdr:row>
      <xdr:rowOff>152400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DE243EA-F077-007D-B85A-04DB6B0CFB91}"/>
            </a:ext>
            <a:ext uri="{147F2762-F138-4A5C-976F-8EAC2B608ADB}">
              <a16:predDERef xmlns:a16="http://schemas.microsoft.com/office/drawing/2014/main" pred="{33C9641B-C6C3-1DB3-EC23-C5D6FD55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78750" y="6667500"/>
          <a:ext cx="7019925" cy="1524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23</xdr:col>
      <xdr:colOff>762000</xdr:colOff>
      <xdr:row>37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244853F-6D11-A8F5-8143-BD2F54A81A53}"/>
            </a:ext>
            <a:ext uri="{147F2762-F138-4A5C-976F-8EAC2B608ADB}">
              <a16:predDERef xmlns:a16="http://schemas.microsoft.com/office/drawing/2014/main" pred="{1DE243EA-F077-007D-B85A-04DB6B0C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478750" y="6858000"/>
          <a:ext cx="7010400" cy="1809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23</xdr:col>
      <xdr:colOff>781050</xdr:colOff>
      <xdr:row>37</xdr:row>
      <xdr:rowOff>161925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08AE37-DBB6-60C8-0BA6-7A5886528390}"/>
            </a:ext>
            <a:ext uri="{147F2762-F138-4A5C-976F-8EAC2B608ADB}">
              <a16:predDERef xmlns:a16="http://schemas.microsoft.com/office/drawing/2014/main" pred="{F244853F-6D11-A8F5-8143-BD2F54A8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478750" y="7048500"/>
          <a:ext cx="7029450" cy="1619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23</xdr:col>
      <xdr:colOff>809625</xdr:colOff>
      <xdr:row>38</xdr:row>
      <xdr:rowOff>171450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2C8FB5F-A5F0-B98A-CC76-2445FA40C92D}"/>
            </a:ext>
            <a:ext uri="{147F2762-F138-4A5C-976F-8EAC2B608ADB}">
              <a16:predDERef xmlns:a16="http://schemas.microsoft.com/office/drawing/2014/main" pred="{3108AE37-DBB6-60C8-0BA6-7A5886528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840700" y="6877050"/>
          <a:ext cx="7058025" cy="1714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24</xdr:col>
      <xdr:colOff>0</xdr:colOff>
      <xdr:row>39</xdr:row>
      <xdr:rowOff>171450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28AA887-08E8-1D33-DC03-4AE164F113A2}"/>
            </a:ext>
            <a:ext uri="{147F2762-F138-4A5C-976F-8EAC2B608ADB}">
              <a16:predDERef xmlns:a16="http://schemas.microsoft.com/office/drawing/2014/main" pred="{12C8FB5F-A5F0-B98A-CC76-2445FA40C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478750" y="7429500"/>
          <a:ext cx="7086600" cy="1714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24</xdr:col>
      <xdr:colOff>38100</xdr:colOff>
      <xdr:row>41</xdr:row>
      <xdr:rowOff>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CA82D5A-4786-F63B-8D63-D37548EB52F1}"/>
            </a:ext>
            <a:ext uri="{147F2762-F138-4A5C-976F-8EAC2B608ADB}">
              <a16:predDERef xmlns:a16="http://schemas.microsoft.com/office/drawing/2014/main" pred="{228AA887-08E8-1D33-DC03-4AE164F11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478750" y="7620000"/>
          <a:ext cx="7124700" cy="1809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23</xdr:col>
      <xdr:colOff>809625</xdr:colOff>
      <xdr:row>42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E38CF8E-54FB-DE06-BFA1-2BA3D1DEC8B2}"/>
            </a:ext>
            <a:ext uri="{147F2762-F138-4A5C-976F-8EAC2B608ADB}">
              <a16:predDERef xmlns:a16="http://schemas.microsoft.com/office/drawing/2014/main" pred="{6CA82D5A-4786-F63B-8D63-D37548EB5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478750" y="7810500"/>
          <a:ext cx="7058025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43</xdr:row>
      <xdr:rowOff>0</xdr:rowOff>
    </xdr:from>
    <xdr:to>
      <xdr:col>24</xdr:col>
      <xdr:colOff>11220450</xdr:colOff>
      <xdr:row>44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C07CF1B-7DD9-56A7-A5E0-7A886CA447BD}"/>
            </a:ext>
            <a:ext uri="{147F2762-F138-4A5C-976F-8EAC2B608ADB}">
              <a16:predDERef xmlns:a16="http://schemas.microsoft.com/office/drawing/2014/main" pred="{EE38CF8E-54FB-DE06-BFA1-2BA3D1DEC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497800" y="8191500"/>
          <a:ext cx="1828800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44</xdr:row>
      <xdr:rowOff>0</xdr:rowOff>
    </xdr:from>
    <xdr:to>
      <xdr:col>24</xdr:col>
      <xdr:colOff>11220450</xdr:colOff>
      <xdr:row>45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ED29635-DD87-54C9-1AB9-182A38A52E69}"/>
            </a:ext>
            <a:ext uri="{147F2762-F138-4A5C-976F-8EAC2B608ADB}">
              <a16:predDERef xmlns:a16="http://schemas.microsoft.com/office/drawing/2014/main" pred="{1C07CF1B-7DD9-56A7-A5E0-7A886CA44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497800" y="8382000"/>
          <a:ext cx="1828800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45</xdr:row>
      <xdr:rowOff>0</xdr:rowOff>
    </xdr:from>
    <xdr:to>
      <xdr:col>24</xdr:col>
      <xdr:colOff>11220450</xdr:colOff>
      <xdr:row>46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9F4CCF6-A281-7C1E-A6F5-21176C60E52A}"/>
            </a:ext>
            <a:ext uri="{147F2762-F138-4A5C-976F-8EAC2B608ADB}">
              <a16:predDERef xmlns:a16="http://schemas.microsoft.com/office/drawing/2014/main" pred="{BED29635-DD87-54C9-1AB9-182A38A52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497800" y="8572500"/>
          <a:ext cx="1828800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23</xdr:col>
      <xdr:colOff>180975</xdr:colOff>
      <xdr:row>59</xdr:row>
      <xdr:rowOff>171450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18288A4-2F40-154C-5BF6-F6494E594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478750" y="8763000"/>
          <a:ext cx="6429375" cy="26479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23</xdr:col>
      <xdr:colOff>600075</xdr:colOff>
      <xdr:row>61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027E046-CF47-866D-DDF6-0BE6BED3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478750" y="11430000"/>
          <a:ext cx="6848475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24</xdr:col>
      <xdr:colOff>7736231</xdr:colOff>
      <xdr:row>61</xdr:row>
      <xdr:rowOff>180952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4A813E6-8D85-22E5-DAB7-9C050785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054060" y="11155680"/>
          <a:ext cx="15028571" cy="180952"/>
        </a:xfrm>
        <a:prstGeom prst="rect">
          <a:avLst/>
        </a:prstGeom>
      </xdr:spPr>
    </xdr:pic>
    <xdr:clientData/>
  </xdr:twoCellAnchor>
  <xdr:twoCellAnchor editAs="oneCell">
    <xdr:from>
      <xdr:col>19</xdr:col>
      <xdr:colOff>914400</xdr:colOff>
      <xdr:row>62</xdr:row>
      <xdr:rowOff>1</xdr:rowOff>
    </xdr:from>
    <xdr:to>
      <xdr:col>24</xdr:col>
      <xdr:colOff>9703869</xdr:colOff>
      <xdr:row>63</xdr:row>
      <xdr:rowOff>37555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7BE559A-7106-A2F9-783D-24F9D7A28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459700" y="11811001"/>
          <a:ext cx="16809519" cy="22805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63</xdr:row>
      <xdr:rowOff>0</xdr:rowOff>
    </xdr:from>
    <xdr:to>
      <xdr:col>24</xdr:col>
      <xdr:colOff>9780066</xdr:colOff>
      <xdr:row>63</xdr:row>
      <xdr:rowOff>180952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E5B33C3-44FF-5DA0-FD38-313711DF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478750" y="12001500"/>
          <a:ext cx="16866666" cy="18095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23</xdr:col>
      <xdr:colOff>590550</xdr:colOff>
      <xdr:row>65</xdr:row>
      <xdr:rowOff>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A666E18-A61B-8B95-A5AE-3B903E0EF1B2}"/>
            </a:ext>
            <a:ext uri="{147F2762-F138-4A5C-976F-8EAC2B608ADB}">
              <a16:predDERef xmlns:a16="http://schemas.microsoft.com/office/drawing/2014/main" pred="{0E5B33C3-44FF-5DA0-FD38-313711DF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478750" y="12192000"/>
          <a:ext cx="683895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65</xdr:row>
      <xdr:rowOff>0</xdr:rowOff>
    </xdr:from>
    <xdr:to>
      <xdr:col>24</xdr:col>
      <xdr:colOff>19050</xdr:colOff>
      <xdr:row>70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54B31C6-D933-BBA7-A0C6-B19AEB02D8CE}"/>
            </a:ext>
            <a:ext uri="{147F2762-F138-4A5C-976F-8EAC2B608ADB}">
              <a16:predDERef xmlns:a16="http://schemas.microsoft.com/office/drawing/2014/main" pred="{8A666E18-A61B-8B95-A5AE-3B903E0EF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478750" y="12382500"/>
          <a:ext cx="7105650" cy="952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70</xdr:row>
      <xdr:rowOff>0</xdr:rowOff>
    </xdr:from>
    <xdr:to>
      <xdr:col>24</xdr:col>
      <xdr:colOff>28575</xdr:colOff>
      <xdr:row>71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6F8F048-435A-6C7E-6118-88A2DD4D782F}"/>
            </a:ext>
            <a:ext uri="{147F2762-F138-4A5C-976F-8EAC2B608ADB}">
              <a16:predDERef xmlns:a16="http://schemas.microsoft.com/office/drawing/2014/main" pred="{054B31C6-D933-BBA7-A0C6-B19AEB02D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497800" y="13335000"/>
          <a:ext cx="7096125" cy="1809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71</xdr:row>
      <xdr:rowOff>0</xdr:rowOff>
    </xdr:from>
    <xdr:to>
      <xdr:col>24</xdr:col>
      <xdr:colOff>2887467</xdr:colOff>
      <xdr:row>72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993D7F3-CE44-AC50-EAAC-3242A5B20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478750" y="13525500"/>
          <a:ext cx="9974067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</xdr:colOff>
      <xdr:row>72</xdr:row>
      <xdr:rowOff>0</xdr:rowOff>
    </xdr:from>
    <xdr:to>
      <xdr:col>24</xdr:col>
      <xdr:colOff>76201</xdr:colOff>
      <xdr:row>95</xdr:row>
      <xdr:rowOff>28575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89D27EA-755A-E052-03E4-75B0AB18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478751" y="13716000"/>
          <a:ext cx="7162800" cy="44100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95</xdr:row>
      <xdr:rowOff>0</xdr:rowOff>
    </xdr:from>
    <xdr:to>
      <xdr:col>24</xdr:col>
      <xdr:colOff>19050</xdr:colOff>
      <xdr:row>120</xdr:row>
      <xdr:rowOff>665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E867D64-6CDF-A399-86B3-9B7483DA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0478750" y="18097500"/>
          <a:ext cx="7105650" cy="4763165"/>
        </a:xfrm>
        <a:prstGeom prst="rect">
          <a:avLst/>
        </a:prstGeom>
      </xdr:spPr>
    </xdr:pic>
    <xdr:clientData/>
  </xdr:twoCellAnchor>
  <xdr:twoCellAnchor editAs="oneCell">
    <xdr:from>
      <xdr:col>19</xdr:col>
      <xdr:colOff>933449</xdr:colOff>
      <xdr:row>120</xdr:row>
      <xdr:rowOff>0</xdr:rowOff>
    </xdr:from>
    <xdr:to>
      <xdr:col>23</xdr:col>
      <xdr:colOff>695324</xdr:colOff>
      <xdr:row>128</xdr:row>
      <xdr:rowOff>28792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D5FA8659-71D4-C7E9-FA37-F60A42A94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478749" y="22860000"/>
          <a:ext cx="6943725" cy="155279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128</xdr:row>
      <xdr:rowOff>1</xdr:rowOff>
    </xdr:from>
    <xdr:to>
      <xdr:col>23</xdr:col>
      <xdr:colOff>733425</xdr:colOff>
      <xdr:row>145</xdr:row>
      <xdr:rowOff>19051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C1CCCD1-12EC-1A02-CB31-49D0CADC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478750" y="24384001"/>
          <a:ext cx="6981825" cy="32575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145</xdr:row>
      <xdr:rowOff>152400</xdr:rowOff>
    </xdr:from>
    <xdr:to>
      <xdr:col>23</xdr:col>
      <xdr:colOff>704850</xdr:colOff>
      <xdr:row>146</xdr:row>
      <xdr:rowOff>171450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0845FC8-8B6E-2255-C2CF-BB5F5D84E331}"/>
            </a:ext>
            <a:ext uri="{147F2762-F138-4A5C-976F-8EAC2B608ADB}">
              <a16:predDERef xmlns:a16="http://schemas.microsoft.com/office/drawing/2014/main" pred="{CC1CCCD1-12EC-1A02-CB31-49D0CADC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0478750" y="27774900"/>
          <a:ext cx="6953250" cy="209550"/>
        </a:xfrm>
        <a:prstGeom prst="rect">
          <a:avLst/>
        </a:prstGeom>
      </xdr:spPr>
    </xdr:pic>
    <xdr:clientData/>
  </xdr:twoCellAnchor>
  <xdr:twoCellAnchor editAs="oneCell">
    <xdr:from>
      <xdr:col>19</xdr:col>
      <xdr:colOff>923925</xdr:colOff>
      <xdr:row>146</xdr:row>
      <xdr:rowOff>171450</xdr:rowOff>
    </xdr:from>
    <xdr:to>
      <xdr:col>23</xdr:col>
      <xdr:colOff>742950</xdr:colOff>
      <xdr:row>148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A84A0CB-E3CF-064B-6BDC-61C20B85C62A}"/>
            </a:ext>
            <a:ext uri="{147F2762-F138-4A5C-976F-8EAC2B608ADB}">
              <a16:predDERef xmlns:a16="http://schemas.microsoft.com/office/drawing/2014/main" pred="{B0845FC8-8B6E-2255-C2CF-BB5F5D84E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0469225" y="27984450"/>
          <a:ext cx="7000875" cy="200025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147</xdr:row>
      <xdr:rowOff>171450</xdr:rowOff>
    </xdr:from>
    <xdr:to>
      <xdr:col>23</xdr:col>
      <xdr:colOff>714375</xdr:colOff>
      <xdr:row>149</xdr:row>
      <xdr:rowOff>9525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F903181-EF36-FDD9-2E6F-D76D0D711BA9}"/>
            </a:ext>
            <a:ext uri="{147F2762-F138-4A5C-976F-8EAC2B608ADB}">
              <a16:predDERef xmlns:a16="http://schemas.microsoft.com/office/drawing/2014/main" pred="{9A84A0CB-E3CF-064B-6BDC-61C20B85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497800" y="28174950"/>
          <a:ext cx="6943725" cy="2190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149</xdr:row>
      <xdr:rowOff>0</xdr:rowOff>
    </xdr:from>
    <xdr:to>
      <xdr:col>23</xdr:col>
      <xdr:colOff>666750</xdr:colOff>
      <xdr:row>150</xdr:row>
      <xdr:rowOff>9525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648982F6-0296-6457-FB95-97A8E4BBFBCA}"/>
            </a:ext>
            <a:ext uri="{147F2762-F138-4A5C-976F-8EAC2B608ADB}">
              <a16:predDERef xmlns:a16="http://schemas.microsoft.com/office/drawing/2014/main" pred="{1F903181-EF36-FDD9-2E6F-D76D0D711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0478750" y="28384500"/>
          <a:ext cx="6915150" cy="2000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149</xdr:row>
      <xdr:rowOff>180975</xdr:rowOff>
    </xdr:from>
    <xdr:to>
      <xdr:col>23</xdr:col>
      <xdr:colOff>676275</xdr:colOff>
      <xdr:row>151</xdr:row>
      <xdr:rowOff>19050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32B55C79-CFA4-1DDF-0FA3-B059D137A46C}"/>
            </a:ext>
            <a:ext uri="{147F2762-F138-4A5C-976F-8EAC2B608ADB}">
              <a16:predDERef xmlns:a16="http://schemas.microsoft.com/office/drawing/2014/main" pred="{648982F6-0296-6457-FB95-97A8E4BBF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478750" y="28565475"/>
          <a:ext cx="6924675" cy="2190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151</xdr:row>
      <xdr:rowOff>9525</xdr:rowOff>
    </xdr:from>
    <xdr:to>
      <xdr:col>23</xdr:col>
      <xdr:colOff>704850</xdr:colOff>
      <xdr:row>152</xdr:row>
      <xdr:rowOff>9525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9F8070B-6792-E9B0-7850-702ED96C58EB}"/>
            </a:ext>
            <a:ext uri="{147F2762-F138-4A5C-976F-8EAC2B608ADB}">
              <a16:predDERef xmlns:a16="http://schemas.microsoft.com/office/drawing/2014/main" pred="{32B55C79-CFA4-1DDF-0FA3-B059D137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478750" y="28775025"/>
          <a:ext cx="695325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152</xdr:row>
      <xdr:rowOff>9525</xdr:rowOff>
    </xdr:from>
    <xdr:to>
      <xdr:col>23</xdr:col>
      <xdr:colOff>704850</xdr:colOff>
      <xdr:row>153</xdr:row>
      <xdr:rowOff>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CBBD754-1A9C-0FE8-C001-46A4B387D1E6}"/>
            </a:ext>
            <a:ext uri="{147F2762-F138-4A5C-976F-8EAC2B608ADB}">
              <a16:predDERef xmlns:a16="http://schemas.microsoft.com/office/drawing/2014/main" pred="{39F8070B-6792-E9B0-7850-702ED96C5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621625" y="28965525"/>
          <a:ext cx="6953250" cy="171450"/>
        </a:xfrm>
        <a:prstGeom prst="rect">
          <a:avLst/>
        </a:prstGeom>
      </xdr:spPr>
    </xdr:pic>
    <xdr:clientData/>
  </xdr:twoCellAnchor>
  <xdr:twoCellAnchor editAs="oneCell">
    <xdr:from>
      <xdr:col>19</xdr:col>
      <xdr:colOff>914400</xdr:colOff>
      <xdr:row>153</xdr:row>
      <xdr:rowOff>0</xdr:rowOff>
    </xdr:from>
    <xdr:to>
      <xdr:col>23</xdr:col>
      <xdr:colOff>685800</xdr:colOff>
      <xdr:row>154</xdr:row>
      <xdr:rowOff>9525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D6BDBD77-40E7-7E14-41F9-5843E91EB1A7}"/>
            </a:ext>
            <a:ext uri="{147F2762-F138-4A5C-976F-8EAC2B608ADB}">
              <a16:predDERef xmlns:a16="http://schemas.microsoft.com/office/drawing/2014/main" pred="{7CBBD754-1A9C-0FE8-C001-46A4B387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0602575" y="29146500"/>
          <a:ext cx="6953250" cy="200025"/>
        </a:xfrm>
        <a:prstGeom prst="rect">
          <a:avLst/>
        </a:prstGeom>
      </xdr:spPr>
    </xdr:pic>
    <xdr:clientData/>
  </xdr:twoCellAnchor>
  <xdr:twoCellAnchor editAs="oneCell">
    <xdr:from>
      <xdr:col>19</xdr:col>
      <xdr:colOff>904875</xdr:colOff>
      <xdr:row>154</xdr:row>
      <xdr:rowOff>9525</xdr:rowOff>
    </xdr:from>
    <xdr:to>
      <xdr:col>23</xdr:col>
      <xdr:colOff>676275</xdr:colOff>
      <xdr:row>155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4358F031-7E71-FFF1-2E93-BE1CB8886F6E}"/>
            </a:ext>
            <a:ext uri="{147F2762-F138-4A5C-976F-8EAC2B608ADB}">
              <a16:predDERef xmlns:a16="http://schemas.microsoft.com/office/drawing/2014/main" pred="{D6BDBD77-40E7-7E14-41F9-5843E91E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0593050" y="29346525"/>
          <a:ext cx="6953250" cy="190500"/>
        </a:xfrm>
        <a:prstGeom prst="rect">
          <a:avLst/>
        </a:prstGeom>
      </xdr:spPr>
    </xdr:pic>
    <xdr:clientData/>
  </xdr:twoCellAnchor>
  <xdr:twoCellAnchor editAs="oneCell">
    <xdr:from>
      <xdr:col>19</xdr:col>
      <xdr:colOff>904875</xdr:colOff>
      <xdr:row>155</xdr:row>
      <xdr:rowOff>0</xdr:rowOff>
    </xdr:from>
    <xdr:to>
      <xdr:col>23</xdr:col>
      <xdr:colOff>657225</xdr:colOff>
      <xdr:row>156</xdr:row>
      <xdr:rowOff>9525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778E8041-3F94-E1FC-691B-780B7834D6BE}"/>
            </a:ext>
            <a:ext uri="{147F2762-F138-4A5C-976F-8EAC2B608ADB}">
              <a16:predDERef xmlns:a16="http://schemas.microsoft.com/office/drawing/2014/main" pred="{4358F031-7E71-FFF1-2E93-BE1CB888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593050" y="29527500"/>
          <a:ext cx="6934200" cy="200025"/>
        </a:xfrm>
        <a:prstGeom prst="rect">
          <a:avLst/>
        </a:prstGeom>
      </xdr:spPr>
    </xdr:pic>
    <xdr:clientData/>
  </xdr:twoCellAnchor>
  <xdr:twoCellAnchor editAs="oneCell">
    <xdr:from>
      <xdr:col>19</xdr:col>
      <xdr:colOff>923925</xdr:colOff>
      <xdr:row>156</xdr:row>
      <xdr:rowOff>9525</xdr:rowOff>
    </xdr:from>
    <xdr:to>
      <xdr:col>23</xdr:col>
      <xdr:colOff>666750</xdr:colOff>
      <xdr:row>157</xdr:row>
      <xdr:rowOff>1905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A2DAAE99-0DC6-3761-5779-B7EEE5FE0BFB}"/>
            </a:ext>
            <a:ext uri="{147F2762-F138-4A5C-976F-8EAC2B608ADB}">
              <a16:predDERef xmlns:a16="http://schemas.microsoft.com/office/drawing/2014/main" pred="{778E8041-3F94-E1FC-691B-780B7834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612100" y="29727525"/>
          <a:ext cx="6924675" cy="1809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157</xdr:row>
      <xdr:rowOff>1</xdr:rowOff>
    </xdr:from>
    <xdr:to>
      <xdr:col>23</xdr:col>
      <xdr:colOff>142875</xdr:colOff>
      <xdr:row>157</xdr:row>
      <xdr:rowOff>178063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7256E022-EAB4-CFC5-9B6E-78CA8283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621625" y="29908501"/>
          <a:ext cx="6391275" cy="17806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158</xdr:row>
      <xdr:rowOff>0</xdr:rowOff>
    </xdr:from>
    <xdr:to>
      <xdr:col>24</xdr:col>
      <xdr:colOff>551495</xdr:colOff>
      <xdr:row>158</xdr:row>
      <xdr:rowOff>161925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F8ED999-1CD2-334D-0591-CEEA06B3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0621625" y="16573500"/>
          <a:ext cx="7638095" cy="1619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159</xdr:row>
      <xdr:rowOff>0</xdr:rowOff>
    </xdr:from>
    <xdr:to>
      <xdr:col>23</xdr:col>
      <xdr:colOff>809625</xdr:colOff>
      <xdr:row>160</xdr:row>
      <xdr:rowOff>9525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64B49101-081E-48F3-F9B2-61A7676E9028}"/>
            </a:ext>
            <a:ext uri="{147F2762-F138-4A5C-976F-8EAC2B608ADB}">
              <a16:predDERef xmlns:a16="http://schemas.microsoft.com/office/drawing/2014/main" pred="{3F8ED999-1CD2-334D-0591-CEEA06B3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621625" y="16764000"/>
          <a:ext cx="7058025" cy="20002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160</xdr:row>
      <xdr:rowOff>0</xdr:rowOff>
    </xdr:from>
    <xdr:to>
      <xdr:col>24</xdr:col>
      <xdr:colOff>0</xdr:colOff>
      <xdr:row>174</xdr:row>
      <xdr:rowOff>171450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54CB235-E8E8-A9E5-8748-613AA1478411}"/>
            </a:ext>
            <a:ext uri="{147F2762-F138-4A5C-976F-8EAC2B608ADB}">
              <a16:predDERef xmlns:a16="http://schemas.microsoft.com/office/drawing/2014/main" pred="{64B49101-081E-48F3-F9B2-61A7676E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0621625" y="16954500"/>
          <a:ext cx="7086600" cy="283845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174</xdr:row>
      <xdr:rowOff>171450</xdr:rowOff>
    </xdr:from>
    <xdr:to>
      <xdr:col>24</xdr:col>
      <xdr:colOff>11201400</xdr:colOff>
      <xdr:row>175</xdr:row>
      <xdr:rowOff>171450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99ADB26-9019-72A3-DA01-BF3BE6637CC8}"/>
            </a:ext>
            <a:ext uri="{147F2762-F138-4A5C-976F-8EAC2B608ADB}">
              <a16:predDERef xmlns:a16="http://schemas.microsoft.com/office/drawing/2014/main" pred="{C54CB235-E8E8-A9E5-8748-613AA147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0621625" y="33318450"/>
          <a:ext cx="1828800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176</xdr:row>
      <xdr:rowOff>1</xdr:rowOff>
    </xdr:from>
    <xdr:to>
      <xdr:col>22</xdr:col>
      <xdr:colOff>824069</xdr:colOff>
      <xdr:row>179</xdr:row>
      <xdr:rowOff>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C5DA191-92D1-E176-838D-504126F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198840" y="32186881"/>
          <a:ext cx="6371429" cy="54864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179</xdr:row>
      <xdr:rowOff>0</xdr:rowOff>
    </xdr:from>
    <xdr:to>
      <xdr:col>24</xdr:col>
      <xdr:colOff>3067050</xdr:colOff>
      <xdr:row>180</xdr:row>
      <xdr:rowOff>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D9315738-3B3D-37E0-1FD4-77E07D2EC470}"/>
            </a:ext>
            <a:ext uri="{147F2762-F138-4A5C-976F-8EAC2B608ADB}">
              <a16:predDERef xmlns:a16="http://schemas.microsoft.com/office/drawing/2014/main" pred="{0C5DA191-92D1-E176-838D-504126F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0621625" y="32394525"/>
          <a:ext cx="10153650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180</xdr:row>
      <xdr:rowOff>9525</xdr:rowOff>
    </xdr:from>
    <xdr:to>
      <xdr:col>23</xdr:col>
      <xdr:colOff>723900</xdr:colOff>
      <xdr:row>182</xdr:row>
      <xdr:rowOff>1905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9E3CB0D6-46B9-21DD-5366-4D43A58F46AD}"/>
            </a:ext>
            <a:ext uri="{147F2762-F138-4A5C-976F-8EAC2B608ADB}">
              <a16:predDERef xmlns:a16="http://schemas.microsoft.com/office/drawing/2014/main" pred="{D9315738-3B3D-37E0-1FD4-77E07D2EC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621625" y="32594550"/>
          <a:ext cx="6972300" cy="3714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182</xdr:row>
      <xdr:rowOff>0</xdr:rowOff>
    </xdr:from>
    <xdr:to>
      <xdr:col>23</xdr:col>
      <xdr:colOff>714375</xdr:colOff>
      <xdr:row>183</xdr:row>
      <xdr:rowOff>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75BA8508-5FDE-905D-E333-F4B7F3302E9A}"/>
            </a:ext>
            <a:ext uri="{147F2762-F138-4A5C-976F-8EAC2B608ADB}">
              <a16:predDERef xmlns:a16="http://schemas.microsoft.com/office/drawing/2014/main" pred="{9E3CB0D6-46B9-21DD-5366-4D43A58F4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0621625" y="32966025"/>
          <a:ext cx="6962775" cy="1905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183</xdr:row>
      <xdr:rowOff>0</xdr:rowOff>
    </xdr:from>
    <xdr:to>
      <xdr:col>24</xdr:col>
      <xdr:colOff>2057400</xdr:colOff>
      <xdr:row>183</xdr:row>
      <xdr:rowOff>171450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9CE3754A-0228-BD4D-41D9-C51693698CA5}"/>
            </a:ext>
            <a:ext uri="{147F2762-F138-4A5C-976F-8EAC2B608ADB}">
              <a16:predDERef xmlns:a16="http://schemas.microsoft.com/office/drawing/2014/main" pred="{75BA8508-5FDE-905D-E333-F4B7F330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0840700" y="33156525"/>
          <a:ext cx="9144000" cy="171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79D96-75C7-4E26-82D4-148AA01EB71B}" name="Tabla1" displayName="Tabla1" ref="A1:Z184" totalsRowShown="0" headerRowDxfId="82" dataDxfId="80" headerRowBorderDxfId="81" tableBorderDxfId="79">
  <autoFilter ref="A1:Z184" xr:uid="{1F679D96-75C7-4E26-82D4-148AA01EB71B}"/>
  <tableColumns count="26">
    <tableColumn id="1" xr3:uid="{B5515A40-5A8B-4AD6-9D68-EDEF51140B03}" name="Tipo" dataDxfId="78"/>
    <tableColumn id="2" xr3:uid="{3BE9C23A-2149-445A-A4C0-C99D7CBAB2C4}" name="Tipo2" dataDxfId="77"/>
    <tableColumn id="3" xr3:uid="{CA3C385A-4D4E-43D9-95F0-BC7409B3CF26}" name="Empresa" dataDxfId="76"/>
    <tableColumn id="4" xr3:uid="{00AD9A28-3312-4AFD-885F-C9CE5A961BA1}" name="fecha_revision" dataDxfId="75"/>
    <tableColumn id="26" xr3:uid="{39C606D1-EA4E-4D2B-ADD5-8747B0A5263C}" name="Mes" dataDxfId="74">
      <calculatedColumnFormula>+TEXT(Tabla1[[#This Row],[fecha_revision]],"mmmm")</calculatedColumnFormula>
    </tableColumn>
    <tableColumn id="5" xr3:uid="{32A4224F-E1B6-4B1F-8139-57DA1351B1B5}" name="PSP_TIN" dataDxfId="73"/>
    <tableColumn id="6" xr3:uid="{1ECB9BB4-910F-4D13-8C62-A01ADF450D39}" name="PSP_TIN concatenado" dataDxfId="72">
      <calculatedColumnFormula>CONCATENATE("'",F2,"',")</calculatedColumnFormula>
    </tableColumn>
    <tableColumn id="7" xr3:uid="{A24236E5-654F-4986-ACE4-CF07F4AB45AB}" name="Estado" dataDxfId="71"/>
    <tableColumn id="8" xr3:uid="{2FACED29-366A-4A45-A6CB-AEE9BF51616F}" name="Public ID" dataDxfId="70"/>
    <tableColumn id="9" xr3:uid="{7A64A217-E882-4379-8FC4-C184C3DEFB40}" name="inv_id concatenado" dataDxfId="69">
      <calculatedColumnFormula>CONCATENATE("'",I2,"',")</calculatedColumnFormula>
    </tableColumn>
    <tableColumn id="10" xr3:uid="{CFAD3BF3-47C2-4ABB-AF7C-5FE5EAE44418}" name="PEN" dataDxfId="68"/>
    <tableColumn id="11" xr3:uid="{C63D962A-86C1-43EA-9DA0-B6FB3BF89C99}" name="Monto voucher" dataDxfId="67"/>
    <tableColumn id="12" xr3:uid="{BFDD3E39-CB36-4E71-950A-975FE54AADB1}" name="Monto Kashio" dataDxfId="66"/>
    <tableColumn id="13" xr3:uid="{5D412789-767A-4EFA-AD61-BC7B325AC35A}" name="Balance" dataDxfId="65">
      <calculatedColumnFormula>+L2-M2</calculatedColumnFormula>
    </tableColumn>
    <tableColumn id="14" xr3:uid="{96487987-87FE-4F95-8819-B691BD53BEB0}" name="CANAL" dataDxfId="64"/>
    <tableColumn id="15" xr3:uid="{E5A914A9-59E0-439A-8783-A8A345E649E0}" name="Banco" dataDxfId="63"/>
    <tableColumn id="16" xr3:uid="{9C317BF6-F1A2-48AD-9490-AAEF8F542882}" name="Nro OP" dataDxfId="62"/>
    <tableColumn id="17" xr3:uid="{BB65A20F-81E1-44D9-8423-3E102A096DAD}" name="VOUCHER_FECHA" dataDxfId="61"/>
    <tableColumn id="18" xr3:uid="{2DAE42B7-4C92-4D9A-881D-9339266CCE3F}" name="Nuevo estado" dataDxfId="60"/>
    <tableColumn id="19" xr3:uid="{C26BD098-0D75-445F-828B-553B5C28B708}" name="RONDA" dataDxfId="59"/>
    <tableColumn id="20" xr3:uid="{0D9F0FE6-1405-4F10-9D86-651DAD027FDC}" name="Sustento" dataDxfId="58"/>
    <tableColumn id="21" xr3:uid="{761F6452-76A0-427E-834A-1ADC03D23C8A}" name="Columna1" dataDxfId="57"/>
    <tableColumn id="22" xr3:uid="{D7EBC60A-2AB3-4DCD-B1F2-F62BA8FACE3E}" name="Columna2" dataDxfId="56"/>
    <tableColumn id="23" xr3:uid="{297502ED-DC3E-4356-8805-4DFFCFDFCB6A}" name="Columna3" dataDxfId="55"/>
    <tableColumn id="24" xr3:uid="{594CFA84-B164-4070-8C9C-6BCAFD638704}" name="Columna4" dataDxfId="54">
      <calculatedColumnFormula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calculatedColumnFormula>
    </tableColumn>
    <tableColumn id="25" xr3:uid="{86D3824E-41D9-4264-87F0-BE78FF4FDDC0}" name="Columna5" dataDxfId="53">
      <calculatedColumnFormula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4"/>
  <sheetViews>
    <sheetView tabSelected="1" workbookViewId="0">
      <selection activeCell="F15" sqref="F15"/>
    </sheetView>
  </sheetViews>
  <sheetFormatPr baseColWidth="10" defaultColWidth="8.85546875" defaultRowHeight="15" x14ac:dyDescent="0.25"/>
  <cols>
    <col min="1" max="1" width="7.140625" bestFit="1" customWidth="1"/>
    <col min="2" max="2" width="8.28515625" bestFit="1" customWidth="1"/>
    <col min="3" max="3" width="31.85546875" customWidth="1"/>
    <col min="4" max="4" width="19" bestFit="1" customWidth="1"/>
    <col min="5" max="5" width="14.28515625" bestFit="1" customWidth="1"/>
    <col min="6" max="6" width="19.140625" customWidth="1"/>
    <col min="7" max="7" width="16.7109375" customWidth="1"/>
    <col min="8" max="8" width="12.7109375" customWidth="1"/>
    <col min="9" max="9" width="28.7109375" customWidth="1"/>
    <col min="10" max="10" width="34.7109375" customWidth="1"/>
    <col min="11" max="11" width="9.5703125" customWidth="1"/>
    <col min="12" max="12" width="15.5703125" bestFit="1" customWidth="1"/>
    <col min="13" max="13" width="10.5703125" bestFit="1" customWidth="1"/>
    <col min="14" max="14" width="9.5703125" bestFit="1" customWidth="1"/>
    <col min="15" max="15" width="10.85546875" customWidth="1"/>
    <col min="16" max="16" width="9.5703125" bestFit="1" customWidth="1"/>
    <col min="17" max="17" width="14.140625" customWidth="1"/>
    <col min="18" max="18" width="15.7109375" bestFit="1" customWidth="1"/>
    <col min="19" max="19" width="10.42578125" bestFit="1" customWidth="1"/>
    <col min="20" max="20" width="14" customWidth="1"/>
    <col min="21" max="21" width="68.28515625" customWidth="1"/>
    <col min="22" max="22" width="12.5703125" bestFit="1" customWidth="1"/>
    <col min="23" max="23" width="12.85546875" customWidth="1"/>
    <col min="24" max="24" width="12.5703125" bestFit="1" customWidth="1"/>
    <col min="25" max="26" width="173.7109375" bestFit="1" customWidth="1"/>
  </cols>
  <sheetData>
    <row r="1" spans="1:26" x14ac:dyDescent="0.25">
      <c r="A1" s="6" t="s">
        <v>0</v>
      </c>
      <c r="B1" s="6" t="s">
        <v>1</v>
      </c>
      <c r="C1" s="6" t="s">
        <v>2</v>
      </c>
      <c r="D1" s="7" t="s">
        <v>454</v>
      </c>
      <c r="E1" s="7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6" t="s">
        <v>16</v>
      </c>
      <c r="R1" s="7" t="s">
        <v>17</v>
      </c>
      <c r="S1" s="9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25">
      <c r="A2" s="22">
        <v>22918</v>
      </c>
      <c r="B2" s="23" t="s">
        <v>26</v>
      </c>
      <c r="C2" s="23" t="s">
        <v>27</v>
      </c>
      <c r="D2" s="24">
        <v>46025</v>
      </c>
      <c r="E2" s="24" t="str">
        <f>+TEXT(Tabla1[[#This Row],[fecha_revision]],"mmmm")</f>
        <v>Enero</v>
      </c>
      <c r="F2" s="25">
        <v>260030958153</v>
      </c>
      <c r="G2" s="23" t="str">
        <f t="shared" ref="G2" si="0">CONCATENATE("'",F2,"',")</f>
        <v>'260030958153',</v>
      </c>
      <c r="H2" s="23" t="s">
        <v>28</v>
      </c>
      <c r="I2" s="23" t="s">
        <v>29</v>
      </c>
      <c r="J2" s="23" t="str">
        <f>CONCATENATE("'",I2,"',")</f>
        <v>'inv_XgdrAFitNUPbJ9ySkihbYL',</v>
      </c>
      <c r="K2" s="23" t="s">
        <v>10</v>
      </c>
      <c r="L2" s="23">
        <v>357</v>
      </c>
      <c r="M2" s="23">
        <v>357</v>
      </c>
      <c r="N2" s="23">
        <f t="shared" ref="N2" si="1">+L2-M2</f>
        <v>0</v>
      </c>
      <c r="O2" s="23" t="s">
        <v>30</v>
      </c>
      <c r="P2" s="26" t="s">
        <v>31</v>
      </c>
      <c r="Q2" s="27">
        <v>5569522</v>
      </c>
      <c r="R2" s="24">
        <v>46025</v>
      </c>
      <c r="S2" s="26" t="s">
        <v>32</v>
      </c>
      <c r="T2" s="28"/>
      <c r="U2" s="23"/>
      <c r="V2" s="23"/>
      <c r="W2" s="23"/>
      <c r="X2" s="23"/>
      <c r="Y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'260030958153','VOUCHER_Currency': 'PEN','VOUCHER_Amount': 357,'VOUCHER_Operacion_PSP': '5569522','VOUCHER_FECHA':'46025'},</v>
      </c>
      <c r="Z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'260030958153','VOUCHER_Currency': 'PEN','VOUCHER_Amount': 357,'VOUCHER_Operacion_PSP': '5569522','VOUCHER_FECHA':'46025'},</v>
      </c>
    </row>
    <row r="3" spans="1:26" x14ac:dyDescent="0.25">
      <c r="A3" s="1">
        <v>22994</v>
      </c>
      <c r="B3" s="23" t="s">
        <v>26</v>
      </c>
      <c r="C3" s="1" t="s">
        <v>33</v>
      </c>
      <c r="D3" s="24">
        <v>46028</v>
      </c>
      <c r="E3" s="12" t="str">
        <f>+TEXT(Tabla1[[#This Row],[fecha_revision]],"mmmm")</f>
        <v>Enero</v>
      </c>
      <c r="F3" s="3">
        <v>260075375417</v>
      </c>
      <c r="G3" s="1" t="str">
        <f t="shared" ref="G3:G65" si="2">CONCATENATE("'",F3,"',")</f>
        <v>'260075375417',</v>
      </c>
      <c r="H3" s="1" t="s">
        <v>34</v>
      </c>
      <c r="I3" s="1" t="s">
        <v>35</v>
      </c>
      <c r="J3" s="1" t="str">
        <f t="shared" ref="J3:J65" si="3">CONCATENATE("'",I3,"',")</f>
        <v>'inv_8LHVRZJXMM2KSrFaXzWi2G',</v>
      </c>
      <c r="K3" s="23" t="s">
        <v>10</v>
      </c>
      <c r="L3" s="1">
        <v>20</v>
      </c>
      <c r="M3" s="1">
        <v>20</v>
      </c>
      <c r="N3" s="23">
        <f t="shared" ref="N3:N5" si="4">+L3-M3</f>
        <v>0</v>
      </c>
      <c r="O3" s="23" t="s">
        <v>30</v>
      </c>
      <c r="P3" s="26" t="s">
        <v>31</v>
      </c>
      <c r="Q3" s="13">
        <v>454583</v>
      </c>
      <c r="R3" s="24">
        <v>46028</v>
      </c>
      <c r="S3" s="26" t="s">
        <v>32</v>
      </c>
      <c r="T3" s="5"/>
      <c r="U3" s="1"/>
      <c r="V3" s="1"/>
      <c r="W3" s="1"/>
      <c r="X3" s="1"/>
      <c r="Y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'260075375417','VOUCHER_Currency': 'PEN','VOUCHER_Amount': 20,'VOUCHER_Operacion_PSP': '454583','VOUCHER_FECHA':'46028'},</v>
      </c>
      <c r="Z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'260075375417','VOUCHER_Currency': 'PEN','VOUCHER_Amount': 20,'VOUCHER_Operacion_PSP': '454583','VOUCHER_FECHA':'46028'},</v>
      </c>
    </row>
    <row r="4" spans="1:26" x14ac:dyDescent="0.25">
      <c r="A4" s="1">
        <v>22997</v>
      </c>
      <c r="B4" s="23" t="s">
        <v>26</v>
      </c>
      <c r="C4" s="1" t="s">
        <v>33</v>
      </c>
      <c r="D4" s="24">
        <v>46028</v>
      </c>
      <c r="E4" s="12" t="str">
        <f>+TEXT(Tabla1[[#This Row],[fecha_revision]],"mmmm")</f>
        <v>Enero</v>
      </c>
      <c r="F4" s="3">
        <v>260075370851</v>
      </c>
      <c r="G4" s="1" t="str">
        <f t="shared" si="2"/>
        <v>'260075370851',</v>
      </c>
      <c r="H4" s="1" t="s">
        <v>34</v>
      </c>
      <c r="I4" s="1" t="s">
        <v>36</v>
      </c>
      <c r="J4" s="1" t="str">
        <f t="shared" si="3"/>
        <v>'inv_LkhfknvUEAmMSWhakCDJwn',</v>
      </c>
      <c r="K4" s="23" t="s">
        <v>10</v>
      </c>
      <c r="L4" s="1">
        <v>87</v>
      </c>
      <c r="M4" s="1">
        <v>87</v>
      </c>
      <c r="N4" s="23">
        <f t="shared" si="4"/>
        <v>0</v>
      </c>
      <c r="O4" s="23" t="s">
        <v>30</v>
      </c>
      <c r="P4" s="26" t="s">
        <v>31</v>
      </c>
      <c r="Q4" s="13">
        <v>5361284</v>
      </c>
      <c r="R4" s="24">
        <v>46028</v>
      </c>
      <c r="S4" s="26" t="s">
        <v>32</v>
      </c>
      <c r="T4" s="5"/>
      <c r="U4" s="1"/>
      <c r="V4" s="1"/>
      <c r="W4" s="1"/>
      <c r="X4" s="1"/>
      <c r="Y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'260075370851','VOUCHER_Currency': 'PEN','VOUCHER_Amount': 87,'VOUCHER_Operacion_PSP': '5361284','VOUCHER_FECHA':'46028'},</v>
      </c>
      <c r="Z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'260075370851','VOUCHER_Currency': 'PEN','VOUCHER_Amount': 87,'VOUCHER_Operacion_PSP': '5361284','VOUCHER_FECHA':'46028'},</v>
      </c>
    </row>
    <row r="5" spans="1:26" x14ac:dyDescent="0.25">
      <c r="A5" s="1">
        <v>22992</v>
      </c>
      <c r="B5" s="23" t="s">
        <v>26</v>
      </c>
      <c r="C5" s="1" t="s">
        <v>37</v>
      </c>
      <c r="D5" s="24">
        <v>46028</v>
      </c>
      <c r="E5" s="12" t="str">
        <f>+TEXT(Tabla1[[#This Row],[fecha_revision]],"mmmm")</f>
        <v>Enero</v>
      </c>
      <c r="F5" s="3">
        <v>260075379772</v>
      </c>
      <c r="G5" s="1" t="str">
        <f t="shared" si="2"/>
        <v>'260075379772',</v>
      </c>
      <c r="H5" s="1" t="s">
        <v>34</v>
      </c>
      <c r="I5" s="1" t="s">
        <v>38</v>
      </c>
      <c r="J5" s="1" t="str">
        <f t="shared" si="3"/>
        <v>'inv_AnBvuFE3m46ricb3LdwSc2',</v>
      </c>
      <c r="K5" s="23" t="s">
        <v>10</v>
      </c>
      <c r="L5" s="1">
        <v>84.7</v>
      </c>
      <c r="M5" s="1">
        <v>84.7</v>
      </c>
      <c r="N5" s="23">
        <f t="shared" si="4"/>
        <v>0</v>
      </c>
      <c r="O5" s="23" t="s">
        <v>30</v>
      </c>
      <c r="P5" s="26" t="s">
        <v>31</v>
      </c>
      <c r="Q5" s="13">
        <v>984474</v>
      </c>
      <c r="R5" s="24">
        <v>46028</v>
      </c>
      <c r="S5" s="26" t="s">
        <v>32</v>
      </c>
      <c r="T5" s="5"/>
      <c r="U5" s="1"/>
      <c r="V5" s="1"/>
      <c r="W5" s="1"/>
      <c r="X5" s="1"/>
      <c r="Y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'260075379772','VOUCHER_Currency': 'PEN','VOUCHER_Amount': 84.7,'VOUCHER_Operacion_PSP': '984474','VOUCHER_FECHA':'46028'},</v>
      </c>
      <c r="Z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'260075379772','VOUCHER_Currency': 'PEN','VOUCHER_Amount': 84.7,'VOUCHER_Operacion_PSP': '984474','VOUCHER_FECHA':'46028'},</v>
      </c>
    </row>
    <row r="6" spans="1:26" x14ac:dyDescent="0.25">
      <c r="A6" s="20" t="s">
        <v>39</v>
      </c>
      <c r="B6" s="1" t="s">
        <v>40</v>
      </c>
      <c r="C6" s="1" t="s">
        <v>41</v>
      </c>
      <c r="D6" s="24">
        <v>46028</v>
      </c>
      <c r="E6" s="12" t="str">
        <f>+TEXT(Tabla1[[#This Row],[fecha_revision]],"mmmm")</f>
        <v>Enero</v>
      </c>
      <c r="F6" s="3">
        <v>242041519516</v>
      </c>
      <c r="G6" s="1" t="str">
        <f t="shared" si="2"/>
        <v>'242041519516',</v>
      </c>
      <c r="H6" s="1" t="s">
        <v>42</v>
      </c>
      <c r="I6" s="1" t="s">
        <v>43</v>
      </c>
      <c r="J6" s="1" t="str">
        <f t="shared" si="3"/>
        <v>'inv_dFio7H6arApS6RgzYxXgnS',</v>
      </c>
      <c r="K6" s="23" t="s">
        <v>10</v>
      </c>
      <c r="L6" s="29">
        <v>596.78</v>
      </c>
      <c r="M6" s="1">
        <v>596.78</v>
      </c>
      <c r="N6" s="23">
        <f t="shared" ref="N6:N33" si="5">+L6-M6</f>
        <v>0</v>
      </c>
      <c r="O6" s="23" t="s">
        <v>30</v>
      </c>
      <c r="P6" s="26" t="s">
        <v>31</v>
      </c>
      <c r="Q6" s="13">
        <v>962575</v>
      </c>
      <c r="R6" s="24">
        <v>46028</v>
      </c>
      <c r="S6" s="26" t="s">
        <v>32</v>
      </c>
      <c r="T6" s="5"/>
      <c r="U6" s="1"/>
      <c r="V6" s="1"/>
      <c r="W6" s="1"/>
      <c r="X6" s="1"/>
      <c r="Y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'242041519516','VOUCHER_Currency': 'PEN','VOUCHER_Amount': 596.78,'VOUCHER_Operacion_PSP': '962575','VOUCHER_FECHA':'46028'},</v>
      </c>
      <c r="Z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'242041519516','VOUCHER_Currency': 'PEN','VOUCHER_Amount': 596.78,'VOUCHER_Operacion_PSP': '962575','VOUCHER_FECHA':'46028'},</v>
      </c>
    </row>
    <row r="7" spans="1:26" x14ac:dyDescent="0.25">
      <c r="A7" s="20" t="s">
        <v>39</v>
      </c>
      <c r="B7" s="1" t="s">
        <v>40</v>
      </c>
      <c r="C7" s="1" t="s">
        <v>44</v>
      </c>
      <c r="D7" s="24">
        <v>46028</v>
      </c>
      <c r="E7" s="12" t="str">
        <f>+TEXT(Tabla1[[#This Row],[fecha_revision]],"mmmm")</f>
        <v>Enero</v>
      </c>
      <c r="F7" s="3">
        <v>251566725592</v>
      </c>
      <c r="G7" s="1" t="str">
        <f t="shared" si="2"/>
        <v>'251566725592',</v>
      </c>
      <c r="H7" s="1" t="s">
        <v>42</v>
      </c>
      <c r="I7" s="1" t="s">
        <v>45</v>
      </c>
      <c r="J7" s="1" t="str">
        <f t="shared" si="3"/>
        <v>'inv_Qq8UjtpQrzMCCoahAPTYR5',</v>
      </c>
      <c r="K7" s="23" t="s">
        <v>46</v>
      </c>
      <c r="L7" s="1">
        <v>20</v>
      </c>
      <c r="M7" s="1">
        <v>20</v>
      </c>
      <c r="N7" s="23">
        <f t="shared" si="5"/>
        <v>0</v>
      </c>
      <c r="O7" s="23" t="s">
        <v>30</v>
      </c>
      <c r="P7" s="26" t="s">
        <v>31</v>
      </c>
      <c r="Q7" s="13">
        <v>982960</v>
      </c>
      <c r="R7" s="24">
        <v>46028</v>
      </c>
      <c r="S7" s="26" t="s">
        <v>32</v>
      </c>
      <c r="T7" s="5"/>
      <c r="U7" s="1"/>
      <c r="V7" s="1"/>
      <c r="W7" s="1"/>
      <c r="X7" s="1"/>
      <c r="Y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'251566725592','VOUCHER_Currency': 'USD','VOUCHER_Amount': 20,'VOUCHER_Operacion_PSP': '982960','VOUCHER_FECHA':'46028'},</v>
      </c>
      <c r="Z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'251566725592','VOUCHER_Currency': 'USD','VOUCHER_Amount': 20,'VOUCHER_Operacion_PSP': '982960','VOUCHER_FECHA':'46028'},</v>
      </c>
    </row>
    <row r="8" spans="1:26" x14ac:dyDescent="0.25">
      <c r="A8" s="20" t="s">
        <v>39</v>
      </c>
      <c r="B8" s="1" t="s">
        <v>40</v>
      </c>
      <c r="C8" s="1" t="s">
        <v>47</v>
      </c>
      <c r="D8" s="24">
        <v>46028</v>
      </c>
      <c r="E8" s="12" t="str">
        <f>+TEXT(Tabla1[[#This Row],[fecha_revision]],"mmmm")</f>
        <v>Enero</v>
      </c>
      <c r="F8" s="3">
        <v>252987258076</v>
      </c>
      <c r="G8" s="1" t="str">
        <f t="shared" si="2"/>
        <v>'252987258076',</v>
      </c>
      <c r="H8" s="1" t="s">
        <v>42</v>
      </c>
      <c r="I8" s="1" t="s">
        <v>48</v>
      </c>
      <c r="J8" s="1" t="str">
        <f t="shared" si="3"/>
        <v>'inv_GKVQ4kM78PPCUzrw2siZgF',</v>
      </c>
      <c r="K8" s="23" t="s">
        <v>10</v>
      </c>
      <c r="L8" s="1">
        <v>141.16</v>
      </c>
      <c r="M8" s="1">
        <v>141.16</v>
      </c>
      <c r="N8" s="23">
        <f t="shared" si="5"/>
        <v>0</v>
      </c>
      <c r="O8" s="23" t="s">
        <v>30</v>
      </c>
      <c r="P8" s="26" t="s">
        <v>31</v>
      </c>
      <c r="Q8" s="13">
        <v>970018</v>
      </c>
      <c r="R8" s="24">
        <v>46028</v>
      </c>
      <c r="S8" s="26" t="s">
        <v>32</v>
      </c>
      <c r="T8" s="5"/>
      <c r="U8" s="1"/>
      <c r="V8" s="1"/>
      <c r="W8" s="1"/>
      <c r="X8" s="1"/>
      <c r="Y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'252987258076','VOUCHER_Currency': 'PEN','VOUCHER_Amount': 141.16,'VOUCHER_Operacion_PSP': '970018','VOUCHER_FECHA':'46028'},</v>
      </c>
      <c r="Z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'252987258076','VOUCHER_Currency': 'PEN','VOUCHER_Amount': 141.16,'VOUCHER_Operacion_PSP': '970018','VOUCHER_FECHA':'46028'},</v>
      </c>
    </row>
    <row r="9" spans="1:26" x14ac:dyDescent="0.25">
      <c r="A9" s="20" t="s">
        <v>39</v>
      </c>
      <c r="B9" s="1" t="s">
        <v>40</v>
      </c>
      <c r="C9" s="1" t="s">
        <v>47</v>
      </c>
      <c r="D9" s="24">
        <v>46028</v>
      </c>
      <c r="E9" s="12" t="str">
        <f>+TEXT(Tabla1[[#This Row],[fecha_revision]],"mmmm")</f>
        <v>Enero</v>
      </c>
      <c r="F9" s="3">
        <v>253282091982</v>
      </c>
      <c r="G9" s="1" t="str">
        <f t="shared" si="2"/>
        <v>'253282091982',</v>
      </c>
      <c r="H9" s="1" t="s">
        <v>42</v>
      </c>
      <c r="I9" s="1" t="s">
        <v>49</v>
      </c>
      <c r="J9" s="1" t="str">
        <f t="shared" si="3"/>
        <v>'inv_8Ydm6JJnuMzVJs8duCFYAz',</v>
      </c>
      <c r="K9" s="23" t="s">
        <v>10</v>
      </c>
      <c r="L9" s="1">
        <v>140.09</v>
      </c>
      <c r="M9" s="1">
        <v>140.09</v>
      </c>
      <c r="N9" s="23">
        <f t="shared" si="5"/>
        <v>0</v>
      </c>
      <c r="O9" s="23" t="s">
        <v>30</v>
      </c>
      <c r="P9" s="26" t="s">
        <v>31</v>
      </c>
      <c r="Q9" s="13">
        <v>970018</v>
      </c>
      <c r="R9" s="24">
        <v>46028</v>
      </c>
      <c r="S9" s="26" t="s">
        <v>32</v>
      </c>
      <c r="T9" s="5"/>
      <c r="U9" s="1"/>
      <c r="V9" s="1"/>
      <c r="W9" s="1"/>
      <c r="X9" s="1"/>
      <c r="Y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'253282091982','VOUCHER_Currency': 'PEN','VOUCHER_Amount': 140.09,'VOUCHER_Operacion_PSP': '970018','VOUCHER_FECHA':'46028'},</v>
      </c>
      <c r="Z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'253282091982','VOUCHER_Currency': 'PEN','VOUCHER_Amount': 140.09,'VOUCHER_Operacion_PSP': '970018','VOUCHER_FECHA':'46028'},</v>
      </c>
    </row>
    <row r="10" spans="1:26" x14ac:dyDescent="0.25">
      <c r="A10" s="20" t="s">
        <v>39</v>
      </c>
      <c r="B10" s="1" t="s">
        <v>40</v>
      </c>
      <c r="C10" s="1" t="s">
        <v>50</v>
      </c>
      <c r="D10" s="24">
        <v>46028</v>
      </c>
      <c r="E10" s="12" t="str">
        <f>+TEXT(Tabla1[[#This Row],[fecha_revision]],"mmmm")</f>
        <v>Enero</v>
      </c>
      <c r="F10" s="3">
        <v>253385212882</v>
      </c>
      <c r="G10" s="1" t="str">
        <f t="shared" si="2"/>
        <v>'253385212882',</v>
      </c>
      <c r="H10" s="1" t="s">
        <v>42</v>
      </c>
      <c r="I10" s="1" t="s">
        <v>51</v>
      </c>
      <c r="J10" s="1" t="str">
        <f t="shared" si="3"/>
        <v>'inv_iFhGHAVmtJTd4Zjt8Rg7x2',</v>
      </c>
      <c r="K10" s="23" t="s">
        <v>10</v>
      </c>
      <c r="L10" s="1">
        <v>138</v>
      </c>
      <c r="M10" s="1">
        <v>138</v>
      </c>
      <c r="N10" s="23">
        <f t="shared" si="5"/>
        <v>0</v>
      </c>
      <c r="O10" s="23" t="s">
        <v>30</v>
      </c>
      <c r="P10" s="26" t="s">
        <v>31</v>
      </c>
      <c r="Q10" s="13">
        <v>944153</v>
      </c>
      <c r="R10" s="24">
        <v>46028</v>
      </c>
      <c r="S10" s="26" t="s">
        <v>32</v>
      </c>
      <c r="T10" s="5"/>
      <c r="U10" s="1"/>
      <c r="V10" s="1"/>
      <c r="W10" s="1"/>
      <c r="X10" s="1"/>
      <c r="Y1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'253385212882','VOUCHER_Currency': 'PEN','VOUCHER_Amount': 138,'VOUCHER_Operacion_PSP': '944153','VOUCHER_FECHA':'46028'},</v>
      </c>
      <c r="Z1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'253385212882','VOUCHER_Currency': 'PEN','VOUCHER_Amount': 138,'VOUCHER_Operacion_PSP': '944153','VOUCHER_FECHA':'46028'},</v>
      </c>
    </row>
    <row r="11" spans="1:26" x14ac:dyDescent="0.25">
      <c r="A11" s="20" t="s">
        <v>39</v>
      </c>
      <c r="B11" s="1" t="s">
        <v>40</v>
      </c>
      <c r="C11" s="1" t="s">
        <v>52</v>
      </c>
      <c r="D11" s="24">
        <v>46028</v>
      </c>
      <c r="E11" s="12" t="str">
        <f>+TEXT(Tabla1[[#This Row],[fecha_revision]],"mmmm")</f>
        <v>Enero</v>
      </c>
      <c r="F11" s="3">
        <v>253532999492</v>
      </c>
      <c r="G11" s="1" t="str">
        <f t="shared" si="2"/>
        <v>'253532999492',</v>
      </c>
      <c r="H11" s="1" t="s">
        <v>42</v>
      </c>
      <c r="I11" s="1" t="s">
        <v>53</v>
      </c>
      <c r="J11" s="1" t="str">
        <f t="shared" si="3"/>
        <v>'inv_bokjL62zpStLeoxxq5ctMB',</v>
      </c>
      <c r="K11" s="23" t="s">
        <v>10</v>
      </c>
      <c r="L11" s="1">
        <v>150</v>
      </c>
      <c r="M11" s="1">
        <v>150</v>
      </c>
      <c r="N11" s="23">
        <f t="shared" si="5"/>
        <v>0</v>
      </c>
      <c r="O11" s="23" t="s">
        <v>30</v>
      </c>
      <c r="P11" s="26" t="s">
        <v>31</v>
      </c>
      <c r="Q11" s="13">
        <v>980528</v>
      </c>
      <c r="R11" s="24">
        <v>46028</v>
      </c>
      <c r="S11" s="26" t="s">
        <v>32</v>
      </c>
      <c r="T11" s="5"/>
      <c r="U11" s="1"/>
      <c r="V11" s="1"/>
      <c r="W11" s="1"/>
      <c r="X11" s="1"/>
      <c r="Y1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'253532999492','VOUCHER_Currency': 'PEN','VOUCHER_Amount': 150,'VOUCHER_Operacion_PSP': '980528','VOUCHER_FECHA':'46028'},</v>
      </c>
      <c r="Z1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'253532999492','VOUCHER_Currency': 'PEN','VOUCHER_Amount': 150,'VOUCHER_Operacion_PSP': '980528','VOUCHER_FECHA':'46028'},</v>
      </c>
    </row>
    <row r="12" spans="1:26" x14ac:dyDescent="0.25">
      <c r="A12" s="20" t="s">
        <v>39</v>
      </c>
      <c r="B12" s="1" t="s">
        <v>40</v>
      </c>
      <c r="C12" s="1" t="s">
        <v>50</v>
      </c>
      <c r="D12" s="24">
        <v>46028</v>
      </c>
      <c r="E12" s="12" t="str">
        <f>+TEXT(Tabla1[[#This Row],[fecha_revision]],"mmmm")</f>
        <v>Enero</v>
      </c>
      <c r="F12" s="3">
        <v>253601355086</v>
      </c>
      <c r="G12" s="1" t="str">
        <f t="shared" si="2"/>
        <v>'253601355086',</v>
      </c>
      <c r="H12" s="1" t="s">
        <v>54</v>
      </c>
      <c r="I12" s="1" t="s">
        <v>55</v>
      </c>
      <c r="J12" s="1" t="str">
        <f t="shared" si="3"/>
        <v>'inv_oUme8csUuEBXE4KZpSuFHn',</v>
      </c>
      <c r="K12" s="23" t="s">
        <v>10</v>
      </c>
      <c r="L12" s="1">
        <v>163</v>
      </c>
      <c r="M12" s="1">
        <v>163</v>
      </c>
      <c r="N12" s="23">
        <f t="shared" si="5"/>
        <v>0</v>
      </c>
      <c r="O12" s="23" t="s">
        <v>30</v>
      </c>
      <c r="P12" s="26" t="s">
        <v>31</v>
      </c>
      <c r="Q12" s="13">
        <v>960042</v>
      </c>
      <c r="R12" s="24">
        <v>46028</v>
      </c>
      <c r="S12" s="26" t="s">
        <v>32</v>
      </c>
      <c r="T12" s="5"/>
      <c r="U12" s="1"/>
      <c r="V12" s="1"/>
      <c r="W12" s="1"/>
      <c r="X12" s="1"/>
      <c r="Y1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'253601355086','VOUCHER_Currency': 'PEN','VOUCHER_Amount': 163,'VOUCHER_Operacion_PSP': '960042','VOUCHER_FECHA':'46028'},</v>
      </c>
      <c r="Z1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'253601355086','VOUCHER_Currency': 'PEN','VOUCHER_Amount': 163,'VOUCHER_Operacion_PSP': '960042','VOUCHER_FECHA':'46028'},</v>
      </c>
    </row>
    <row r="13" spans="1:26" x14ac:dyDescent="0.25">
      <c r="A13" s="20" t="s">
        <v>39</v>
      </c>
      <c r="B13" s="1" t="s">
        <v>40</v>
      </c>
      <c r="C13" s="1" t="s">
        <v>56</v>
      </c>
      <c r="D13" s="24">
        <v>46028</v>
      </c>
      <c r="E13" s="12" t="str">
        <f>+TEXT(Tabla1[[#This Row],[fecha_revision]],"mmmm")</f>
        <v>Enero</v>
      </c>
      <c r="F13" s="3">
        <v>253634462632</v>
      </c>
      <c r="G13" s="1" t="str">
        <f t="shared" si="2"/>
        <v>'253634462632',</v>
      </c>
      <c r="H13" s="1" t="s">
        <v>42</v>
      </c>
      <c r="I13" s="1" t="s">
        <v>57</v>
      </c>
      <c r="J13" s="1" t="str">
        <f t="shared" si="3"/>
        <v>'inv_4YM2tbz4qLpqhpe4sUgtHX',</v>
      </c>
      <c r="K13" s="23" t="s">
        <v>10</v>
      </c>
      <c r="L13" s="1">
        <v>500</v>
      </c>
      <c r="M13" s="1">
        <v>500</v>
      </c>
      <c r="N13" s="23">
        <f t="shared" si="5"/>
        <v>0</v>
      </c>
      <c r="O13" s="23" t="s">
        <v>30</v>
      </c>
      <c r="P13" s="26" t="s">
        <v>31</v>
      </c>
      <c r="Q13" s="13">
        <v>972769</v>
      </c>
      <c r="R13" s="24">
        <v>46028</v>
      </c>
      <c r="S13" s="26" t="s">
        <v>32</v>
      </c>
      <c r="T13" s="5"/>
      <c r="U13" s="1"/>
      <c r="V13" s="1"/>
      <c r="W13" s="1"/>
      <c r="X13" s="1"/>
      <c r="Y1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'253634462632','VOUCHER_Currency': 'PEN','VOUCHER_Amount': 500,'VOUCHER_Operacion_PSP': '972769','VOUCHER_FECHA':'46028'},</v>
      </c>
      <c r="Z1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'253634462632','VOUCHER_Currency': 'PEN','VOUCHER_Amount': 500,'VOUCHER_Operacion_PSP': '972769','VOUCHER_FECHA':'46028'},</v>
      </c>
    </row>
    <row r="14" spans="1:26" x14ac:dyDescent="0.25">
      <c r="A14" s="20" t="s">
        <v>39</v>
      </c>
      <c r="B14" s="1" t="s">
        <v>40</v>
      </c>
      <c r="C14" s="1" t="s">
        <v>58</v>
      </c>
      <c r="D14" s="24">
        <v>46028</v>
      </c>
      <c r="E14" s="12" t="str">
        <f>+TEXT(Tabla1[[#This Row],[fecha_revision]],"mmmm")</f>
        <v>Enero</v>
      </c>
      <c r="F14" s="3">
        <v>260042156417</v>
      </c>
      <c r="G14" s="1" t="str">
        <f t="shared" si="2"/>
        <v>'260042156417',</v>
      </c>
      <c r="H14" s="1" t="s">
        <v>54</v>
      </c>
      <c r="I14" s="1" t="s">
        <v>59</v>
      </c>
      <c r="J14" s="1" t="str">
        <f t="shared" si="3"/>
        <v>'inv_4VwiSTtzhw2MUZMaZSMb9d',</v>
      </c>
      <c r="K14" s="23" t="s">
        <v>10</v>
      </c>
      <c r="L14" s="1">
        <v>254.63</v>
      </c>
      <c r="M14" s="1">
        <v>254.63</v>
      </c>
      <c r="N14" s="23">
        <f t="shared" si="5"/>
        <v>0</v>
      </c>
      <c r="O14" s="23" t="s">
        <v>30</v>
      </c>
      <c r="P14" s="26" t="s">
        <v>31</v>
      </c>
      <c r="Q14" s="13">
        <v>985834</v>
      </c>
      <c r="R14" s="24">
        <v>46028</v>
      </c>
      <c r="S14" s="26" t="s">
        <v>32</v>
      </c>
      <c r="T14" s="5"/>
      <c r="U14" s="1"/>
      <c r="V14" s="1"/>
      <c r="W14" s="1"/>
      <c r="X14" s="1"/>
      <c r="Y1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'260042156417','VOUCHER_Currency': 'PEN','VOUCHER_Amount': 254.63,'VOUCHER_Operacion_PSP': '985834','VOUCHER_FECHA':'46028'},</v>
      </c>
      <c r="Z1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'260042156417','VOUCHER_Currency': 'PEN','VOUCHER_Amount': 254.63,'VOUCHER_Operacion_PSP': '985834','VOUCHER_FECHA':'46028'},</v>
      </c>
    </row>
    <row r="15" spans="1:26" x14ac:dyDescent="0.25">
      <c r="A15" s="20" t="s">
        <v>39</v>
      </c>
      <c r="B15" s="1" t="s">
        <v>40</v>
      </c>
      <c r="C15" s="1" t="s">
        <v>60</v>
      </c>
      <c r="D15" s="24">
        <v>46028</v>
      </c>
      <c r="E15" s="12" t="str">
        <f>+TEXT(Tabla1[[#This Row],[fecha_revision]],"mmmm")</f>
        <v>Enero</v>
      </c>
      <c r="F15" s="3">
        <v>260075370188</v>
      </c>
      <c r="G15" s="1" t="str">
        <f t="shared" si="2"/>
        <v>'260075370188',</v>
      </c>
      <c r="H15" s="1" t="s">
        <v>54</v>
      </c>
      <c r="I15" s="1" t="s">
        <v>61</v>
      </c>
      <c r="J15" s="1" t="str">
        <f t="shared" si="3"/>
        <v>'inv_E96V9a8nuTnhLwi2AMgrjq',</v>
      </c>
      <c r="K15" s="23" t="s">
        <v>10</v>
      </c>
      <c r="L15" s="1">
        <v>35.880000000000003</v>
      </c>
      <c r="M15" s="1">
        <v>35.880000000000003</v>
      </c>
      <c r="N15" s="23">
        <f t="shared" si="5"/>
        <v>0</v>
      </c>
      <c r="O15" s="23" t="s">
        <v>30</v>
      </c>
      <c r="P15" s="26" t="s">
        <v>31</v>
      </c>
      <c r="Q15" s="13">
        <v>929331</v>
      </c>
      <c r="R15" s="24">
        <v>46028</v>
      </c>
      <c r="S15" s="26" t="s">
        <v>32</v>
      </c>
      <c r="T15" s="5"/>
      <c r="U15" s="1"/>
      <c r="V15" s="1"/>
      <c r="W15" s="1"/>
      <c r="X15" s="1"/>
      <c r="Y1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'260075370188','VOUCHER_Currency': 'PEN','VOUCHER_Amount': 35.88,'VOUCHER_Operacion_PSP': '929331','VOUCHER_FECHA':'46028'},</v>
      </c>
      <c r="Z1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'260075370188','VOUCHER_Currency': 'PEN','VOUCHER_Amount': 35.88,'VOUCHER_Operacion_PSP': '929331','VOUCHER_FECHA':'46028'},</v>
      </c>
    </row>
    <row r="16" spans="1:26" x14ac:dyDescent="0.25">
      <c r="A16" s="20" t="s">
        <v>39</v>
      </c>
      <c r="B16" s="1" t="s">
        <v>40</v>
      </c>
      <c r="C16" s="1" t="s">
        <v>62</v>
      </c>
      <c r="D16" s="24">
        <v>46028</v>
      </c>
      <c r="E16" s="12" t="str">
        <f>+TEXT(Tabla1[[#This Row],[fecha_revision]],"mmmm")</f>
        <v>Enero</v>
      </c>
      <c r="F16" s="3">
        <v>260075371861</v>
      </c>
      <c r="G16" s="1" t="str">
        <f t="shared" si="2"/>
        <v>'260075371861',</v>
      </c>
      <c r="H16" s="1" t="s">
        <v>54</v>
      </c>
      <c r="I16" s="1" t="s">
        <v>63</v>
      </c>
      <c r="J16" s="1" t="str">
        <f t="shared" si="3"/>
        <v>'inv_WwMyYkEJ95Lxvi7ZjHwVXs',</v>
      </c>
      <c r="K16" s="23" t="s">
        <v>10</v>
      </c>
      <c r="L16" s="1">
        <v>3.4</v>
      </c>
      <c r="M16" s="1">
        <v>3.4</v>
      </c>
      <c r="N16" s="23">
        <f t="shared" si="5"/>
        <v>0</v>
      </c>
      <c r="O16" s="23" t="s">
        <v>30</v>
      </c>
      <c r="P16" s="26" t="s">
        <v>31</v>
      </c>
      <c r="Q16" s="13">
        <v>957164</v>
      </c>
      <c r="R16" s="24">
        <v>46028</v>
      </c>
      <c r="S16" s="26" t="s">
        <v>32</v>
      </c>
      <c r="T16" s="5"/>
      <c r="U16" s="1"/>
      <c r="V16" s="1"/>
      <c r="W16" s="1"/>
      <c r="X16" s="1"/>
      <c r="Y1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'260075371861','VOUCHER_Currency': 'PEN','VOUCHER_Amount': 3.4,'VOUCHER_Operacion_PSP': '957164','VOUCHER_FECHA':'46028'},</v>
      </c>
      <c r="Z1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'260075371861','VOUCHER_Currency': 'PEN','VOUCHER_Amount': 3.4,'VOUCHER_Operacion_PSP': '957164','VOUCHER_FECHA':'46028'},</v>
      </c>
    </row>
    <row r="17" spans="1:26" x14ac:dyDescent="0.25">
      <c r="A17" s="20" t="s">
        <v>39</v>
      </c>
      <c r="B17" s="1" t="s">
        <v>40</v>
      </c>
      <c r="C17" s="1" t="s">
        <v>64</v>
      </c>
      <c r="D17" s="24">
        <v>46028</v>
      </c>
      <c r="E17" s="12" t="str">
        <f>+TEXT(Tabla1[[#This Row],[fecha_revision]],"mmmm")</f>
        <v>Enero</v>
      </c>
      <c r="F17" s="3">
        <v>260075372077</v>
      </c>
      <c r="G17" s="1" t="str">
        <f t="shared" si="2"/>
        <v>'260075372077',</v>
      </c>
      <c r="H17" s="1" t="s">
        <v>54</v>
      </c>
      <c r="I17" s="1" t="s">
        <v>65</v>
      </c>
      <c r="J17" s="1" t="str">
        <f t="shared" si="3"/>
        <v>'inv_HdpVUyLiAWZ8YePeRvYg5C',</v>
      </c>
      <c r="K17" s="23" t="s">
        <v>10</v>
      </c>
      <c r="L17" s="1">
        <v>262.60000000000002</v>
      </c>
      <c r="M17" s="1">
        <v>262.60000000000002</v>
      </c>
      <c r="N17" s="23">
        <f t="shared" si="5"/>
        <v>0</v>
      </c>
      <c r="O17" s="23" t="s">
        <v>30</v>
      </c>
      <c r="P17" s="26" t="s">
        <v>31</v>
      </c>
      <c r="Q17" s="13">
        <v>957216</v>
      </c>
      <c r="R17" s="24">
        <v>46028</v>
      </c>
      <c r="S17" s="26" t="s">
        <v>32</v>
      </c>
      <c r="T17" s="5"/>
      <c r="U17" s="1"/>
      <c r="V17" s="1"/>
      <c r="W17" s="1"/>
      <c r="X17" s="1"/>
      <c r="Y1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'260075372077','VOUCHER_Currency': 'PEN','VOUCHER_Amount': 262.6,'VOUCHER_Operacion_PSP': '957216','VOUCHER_FECHA':'46028'},</v>
      </c>
      <c r="Z1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'260075372077','VOUCHER_Currency': 'PEN','VOUCHER_Amount': 262.6,'VOUCHER_Operacion_PSP': '957216','VOUCHER_FECHA':'46028'},</v>
      </c>
    </row>
    <row r="18" spans="1:26" x14ac:dyDescent="0.25">
      <c r="A18" s="20" t="s">
        <v>39</v>
      </c>
      <c r="B18" s="1" t="s">
        <v>40</v>
      </c>
      <c r="C18" s="1" t="s">
        <v>33</v>
      </c>
      <c r="D18" s="24">
        <v>46028</v>
      </c>
      <c r="E18" s="12" t="str">
        <f>+TEXT(Tabla1[[#This Row],[fecha_revision]],"mmmm")</f>
        <v>Enero</v>
      </c>
      <c r="F18" s="3">
        <v>260075373292</v>
      </c>
      <c r="G18" s="1" t="str">
        <f t="shared" si="2"/>
        <v>'260075373292',</v>
      </c>
      <c r="H18" s="1" t="s">
        <v>54</v>
      </c>
      <c r="I18" s="1" t="s">
        <v>66</v>
      </c>
      <c r="J18" s="1" t="str">
        <f t="shared" si="3"/>
        <v>'inv_Xsj9LLFqaHreMhxQvGXe6s',</v>
      </c>
      <c r="K18" s="23" t="s">
        <v>10</v>
      </c>
      <c r="L18" s="1">
        <v>34.5</v>
      </c>
      <c r="M18" s="1">
        <v>34.5</v>
      </c>
      <c r="N18" s="23">
        <f t="shared" si="5"/>
        <v>0</v>
      </c>
      <c r="O18" s="23" t="s">
        <v>30</v>
      </c>
      <c r="P18" s="26" t="s">
        <v>31</v>
      </c>
      <c r="Q18" s="13">
        <v>958723</v>
      </c>
      <c r="R18" s="24">
        <v>46028</v>
      </c>
      <c r="S18" s="26" t="s">
        <v>32</v>
      </c>
      <c r="T18" s="5"/>
      <c r="U18" s="1"/>
      <c r="V18" s="1"/>
      <c r="W18" s="1"/>
      <c r="X18" s="1"/>
      <c r="Y1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'260075373292','VOUCHER_Currency': 'PEN','VOUCHER_Amount': 34.5,'VOUCHER_Operacion_PSP': '958723','VOUCHER_FECHA':'46028'},</v>
      </c>
      <c r="Z1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'260075373292','VOUCHER_Currency': 'PEN','VOUCHER_Amount': 34.5,'VOUCHER_Operacion_PSP': '958723','VOUCHER_FECHA':'46028'},</v>
      </c>
    </row>
    <row r="19" spans="1:26" x14ac:dyDescent="0.25">
      <c r="A19" s="20" t="s">
        <v>39</v>
      </c>
      <c r="B19" s="1" t="s">
        <v>40</v>
      </c>
      <c r="C19" s="1" t="s">
        <v>33</v>
      </c>
      <c r="D19" s="24">
        <v>46028</v>
      </c>
      <c r="E19" s="12" t="str">
        <f>+TEXT(Tabla1[[#This Row],[fecha_revision]],"mmmm")</f>
        <v>Enero</v>
      </c>
      <c r="F19" s="3">
        <v>260075373757</v>
      </c>
      <c r="G19" s="1" t="str">
        <f t="shared" si="2"/>
        <v>'260075373757',</v>
      </c>
      <c r="H19" s="1" t="s">
        <v>54</v>
      </c>
      <c r="I19" s="1" t="s">
        <v>67</v>
      </c>
      <c r="J19" s="1" t="str">
        <f t="shared" si="3"/>
        <v>'inv_3BrNLcwxgZ3ESQ9z8D5H43',</v>
      </c>
      <c r="K19" s="23" t="s">
        <v>10</v>
      </c>
      <c r="L19" s="1">
        <v>20</v>
      </c>
      <c r="M19" s="1">
        <v>20</v>
      </c>
      <c r="N19" s="23">
        <f t="shared" si="5"/>
        <v>0</v>
      </c>
      <c r="O19" s="23" t="s">
        <v>30</v>
      </c>
      <c r="P19" s="26" t="s">
        <v>31</v>
      </c>
      <c r="Q19" s="13">
        <v>964194</v>
      </c>
      <c r="R19" s="24">
        <v>46028</v>
      </c>
      <c r="S19" s="26" t="s">
        <v>32</v>
      </c>
      <c r="T19" s="5"/>
      <c r="U19" s="1"/>
      <c r="V19" s="1"/>
      <c r="W19" s="1"/>
      <c r="X19" s="1"/>
      <c r="Y1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'260075373757','VOUCHER_Currency': 'PEN','VOUCHER_Amount': 20,'VOUCHER_Operacion_PSP': '964194','VOUCHER_FECHA':'46028'},</v>
      </c>
      <c r="Z1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'260075373757','VOUCHER_Currency': 'PEN','VOUCHER_Amount': 20,'VOUCHER_Operacion_PSP': '964194','VOUCHER_FECHA':'46028'},</v>
      </c>
    </row>
    <row r="20" spans="1:26" x14ac:dyDescent="0.25">
      <c r="A20" s="20" t="s">
        <v>39</v>
      </c>
      <c r="B20" s="1" t="s">
        <v>40</v>
      </c>
      <c r="C20" s="1" t="s">
        <v>62</v>
      </c>
      <c r="D20" s="24">
        <v>46028</v>
      </c>
      <c r="E20" s="12" t="str">
        <f>+TEXT(Tabla1[[#This Row],[fecha_revision]],"mmmm")</f>
        <v>Enero</v>
      </c>
      <c r="F20" s="3">
        <v>260075374236</v>
      </c>
      <c r="G20" s="1" t="str">
        <f t="shared" si="2"/>
        <v>'260075374236',</v>
      </c>
      <c r="H20" s="1" t="s">
        <v>54</v>
      </c>
      <c r="I20" s="1" t="s">
        <v>68</v>
      </c>
      <c r="J20" s="1" t="str">
        <f t="shared" si="3"/>
        <v>'inv_6oejgE4gGVGHaSNatU4wwV',</v>
      </c>
      <c r="K20" s="23" t="s">
        <v>10</v>
      </c>
      <c r="L20" s="1">
        <v>3.4</v>
      </c>
      <c r="M20" s="1">
        <v>3.4</v>
      </c>
      <c r="N20" s="23">
        <f t="shared" si="5"/>
        <v>0</v>
      </c>
      <c r="O20" s="23" t="s">
        <v>30</v>
      </c>
      <c r="P20" s="26" t="s">
        <v>31</v>
      </c>
      <c r="Q20" s="13">
        <v>957494</v>
      </c>
      <c r="R20" s="24">
        <v>46028</v>
      </c>
      <c r="S20" s="26" t="s">
        <v>32</v>
      </c>
      <c r="T20" s="5"/>
      <c r="U20" s="1"/>
      <c r="V20" s="1"/>
      <c r="W20" s="1"/>
      <c r="X20" s="1"/>
      <c r="Y2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'260075374236','VOUCHER_Currency': 'PEN','VOUCHER_Amount': 3.4,'VOUCHER_Operacion_PSP': '957494','VOUCHER_FECHA':'46028'},</v>
      </c>
      <c r="Z2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'260075374236','VOUCHER_Currency': 'PEN','VOUCHER_Amount': 3.4,'VOUCHER_Operacion_PSP': '957494','VOUCHER_FECHA':'46028'},</v>
      </c>
    </row>
    <row r="21" spans="1:26" x14ac:dyDescent="0.25">
      <c r="A21" s="20" t="s">
        <v>39</v>
      </c>
      <c r="B21" s="1" t="s">
        <v>40</v>
      </c>
      <c r="C21" s="1" t="s">
        <v>62</v>
      </c>
      <c r="D21" s="24">
        <v>46028</v>
      </c>
      <c r="E21" s="12" t="str">
        <f>+TEXT(Tabla1[[#This Row],[fecha_revision]],"mmmm")</f>
        <v>Enero</v>
      </c>
      <c r="F21" s="3">
        <v>260075375538</v>
      </c>
      <c r="G21" s="1" t="str">
        <f t="shared" si="2"/>
        <v>'260075375538',</v>
      </c>
      <c r="H21" s="1" t="s">
        <v>54</v>
      </c>
      <c r="I21" s="1" t="s">
        <v>69</v>
      </c>
      <c r="J21" s="1" t="str">
        <f t="shared" si="3"/>
        <v>'inv_F2QSQ5tsDsyZKhzxVPNk6w',</v>
      </c>
      <c r="K21" s="23" t="s">
        <v>10</v>
      </c>
      <c r="L21" s="1">
        <v>24.48</v>
      </c>
      <c r="M21" s="1">
        <v>24.48</v>
      </c>
      <c r="N21" s="23">
        <f t="shared" si="5"/>
        <v>0</v>
      </c>
      <c r="O21" s="23" t="s">
        <v>30</v>
      </c>
      <c r="P21" s="26" t="s">
        <v>31</v>
      </c>
      <c r="Q21" s="13">
        <v>965595</v>
      </c>
      <c r="R21" s="24">
        <v>46028</v>
      </c>
      <c r="S21" s="26" t="s">
        <v>32</v>
      </c>
      <c r="T21" s="5"/>
      <c r="U21" s="1"/>
      <c r="V21" s="1"/>
      <c r="W21" s="1"/>
      <c r="X21" s="1"/>
      <c r="Y2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'260075375538','VOUCHER_Currency': 'PEN','VOUCHER_Amount': 24.48,'VOUCHER_Operacion_PSP': '965595','VOUCHER_FECHA':'46028'},</v>
      </c>
      <c r="Z2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'260075375538','VOUCHER_Currency': 'PEN','VOUCHER_Amount': 24.48,'VOUCHER_Operacion_PSP': '965595','VOUCHER_FECHA':'46028'},</v>
      </c>
    </row>
    <row r="22" spans="1:26" x14ac:dyDescent="0.25">
      <c r="A22" s="20" t="s">
        <v>39</v>
      </c>
      <c r="B22" s="1" t="s">
        <v>40</v>
      </c>
      <c r="C22" s="1" t="s">
        <v>62</v>
      </c>
      <c r="D22" s="24">
        <v>46028</v>
      </c>
      <c r="E22" s="12" t="str">
        <f>+TEXT(Tabla1[[#This Row],[fecha_revision]],"mmmm")</f>
        <v>Enero</v>
      </c>
      <c r="F22" s="3">
        <v>260075375813</v>
      </c>
      <c r="G22" s="1" t="str">
        <f t="shared" si="2"/>
        <v>'260075375813',</v>
      </c>
      <c r="H22" s="1" t="s">
        <v>54</v>
      </c>
      <c r="I22" s="1" t="s">
        <v>70</v>
      </c>
      <c r="J22" s="1" t="str">
        <f t="shared" si="3"/>
        <v>'inv_FH5xiGxDdu9QfLdAmeMX96',</v>
      </c>
      <c r="K22" s="23" t="s">
        <v>10</v>
      </c>
      <c r="L22" s="1">
        <v>10</v>
      </c>
      <c r="M22" s="1">
        <v>10</v>
      </c>
      <c r="N22" s="23">
        <f t="shared" si="5"/>
        <v>0</v>
      </c>
      <c r="O22" s="23" t="s">
        <v>30</v>
      </c>
      <c r="P22" s="26" t="s">
        <v>31</v>
      </c>
      <c r="Q22" s="13">
        <v>963482</v>
      </c>
      <c r="R22" s="24">
        <v>46028</v>
      </c>
      <c r="S22" s="26" t="s">
        <v>32</v>
      </c>
      <c r="T22" s="5"/>
      <c r="U22" s="1"/>
      <c r="V22" s="1"/>
      <c r="W22" s="1"/>
      <c r="X22" s="1"/>
      <c r="Y2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'260075375813','VOUCHER_Currency': 'PEN','VOUCHER_Amount': 10,'VOUCHER_Operacion_PSP': '963482','VOUCHER_FECHA':'46028'},</v>
      </c>
      <c r="Z2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'260075375813','VOUCHER_Currency': 'PEN','VOUCHER_Amount': 10,'VOUCHER_Operacion_PSP': '963482','VOUCHER_FECHA':'46028'},</v>
      </c>
    </row>
    <row r="23" spans="1:26" x14ac:dyDescent="0.25">
      <c r="A23" s="20" t="s">
        <v>39</v>
      </c>
      <c r="B23" s="1" t="s">
        <v>40</v>
      </c>
      <c r="C23" s="1" t="s">
        <v>27</v>
      </c>
      <c r="D23" s="24">
        <v>46028</v>
      </c>
      <c r="E23" s="12" t="str">
        <f>+TEXT(Tabla1[[#This Row],[fecha_revision]],"mmmm")</f>
        <v>Enero</v>
      </c>
      <c r="F23" s="3">
        <v>260075376121</v>
      </c>
      <c r="G23" s="1" t="str">
        <f t="shared" si="2"/>
        <v>'260075376121',</v>
      </c>
      <c r="H23" s="1" t="s">
        <v>54</v>
      </c>
      <c r="I23" s="1" t="s">
        <v>71</v>
      </c>
      <c r="J23" s="1" t="str">
        <f t="shared" si="3"/>
        <v>'inv_gGWoyrpzRHQz5sFSMgKSuf',</v>
      </c>
      <c r="K23" s="23" t="s">
        <v>10</v>
      </c>
      <c r="L23" s="1">
        <v>25</v>
      </c>
      <c r="M23" s="1">
        <v>25</v>
      </c>
      <c r="N23" s="23">
        <f t="shared" si="5"/>
        <v>0</v>
      </c>
      <c r="O23" s="23" t="s">
        <v>30</v>
      </c>
      <c r="P23" s="26" t="s">
        <v>31</v>
      </c>
      <c r="Q23" s="13">
        <v>964519</v>
      </c>
      <c r="R23" s="24">
        <v>46028</v>
      </c>
      <c r="S23" s="26" t="s">
        <v>32</v>
      </c>
      <c r="T23" s="5"/>
      <c r="U23" s="1"/>
      <c r="V23" s="1"/>
      <c r="W23" s="1"/>
      <c r="X23" s="1"/>
      <c r="Y2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'260075376121','VOUCHER_Currency': 'PEN','VOUCHER_Amount': 25,'VOUCHER_Operacion_PSP': '964519','VOUCHER_FECHA':'46028'},</v>
      </c>
      <c r="Z2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'260075376121','VOUCHER_Currency': 'PEN','VOUCHER_Amount': 25,'VOUCHER_Operacion_PSP': '964519','VOUCHER_FECHA':'46028'},</v>
      </c>
    </row>
    <row r="24" spans="1:26" x14ac:dyDescent="0.25">
      <c r="A24" s="20" t="s">
        <v>39</v>
      </c>
      <c r="B24" s="1" t="s">
        <v>40</v>
      </c>
      <c r="C24" s="1" t="s">
        <v>64</v>
      </c>
      <c r="D24" s="24">
        <v>46028</v>
      </c>
      <c r="E24" s="12" t="str">
        <f>+TEXT(Tabla1[[#This Row],[fecha_revision]],"mmmm")</f>
        <v>Enero</v>
      </c>
      <c r="F24" s="3">
        <v>260075376502</v>
      </c>
      <c r="G24" s="1" t="str">
        <f t="shared" si="2"/>
        <v>'260075376502',</v>
      </c>
      <c r="H24" s="1" t="s">
        <v>54</v>
      </c>
      <c r="I24" s="1" t="s">
        <v>72</v>
      </c>
      <c r="J24" s="1" t="str">
        <f t="shared" si="3"/>
        <v>'inv_EXqwANddXL7XkqsZny38K2',</v>
      </c>
      <c r="K24" s="23" t="s">
        <v>10</v>
      </c>
      <c r="L24" s="29">
        <v>773.76</v>
      </c>
      <c r="M24" s="1">
        <v>773.76</v>
      </c>
      <c r="N24" s="23">
        <f t="shared" si="5"/>
        <v>0</v>
      </c>
      <c r="O24" s="23" t="s">
        <v>30</v>
      </c>
      <c r="P24" s="26" t="s">
        <v>31</v>
      </c>
      <c r="Q24" s="13">
        <v>967103</v>
      </c>
      <c r="R24" s="24">
        <v>46028</v>
      </c>
      <c r="S24" s="26" t="s">
        <v>32</v>
      </c>
      <c r="T24" s="5"/>
      <c r="U24" s="1"/>
      <c r="V24" s="1"/>
      <c r="W24" s="1"/>
      <c r="X24" s="1"/>
      <c r="Y2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'260075376502','VOUCHER_Currency': 'PEN','VOUCHER_Amount': 773.76,'VOUCHER_Operacion_PSP': '967103','VOUCHER_FECHA':'46028'},</v>
      </c>
      <c r="Z2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'260075376502','VOUCHER_Currency': 'PEN','VOUCHER_Amount': 773.76,'VOUCHER_Operacion_PSP': '967103','VOUCHER_FECHA':'46028'},</v>
      </c>
    </row>
    <row r="25" spans="1:26" x14ac:dyDescent="0.25">
      <c r="A25" s="20" t="s">
        <v>39</v>
      </c>
      <c r="B25" s="1" t="s">
        <v>40</v>
      </c>
      <c r="C25" s="1" t="s">
        <v>62</v>
      </c>
      <c r="D25" s="24">
        <v>46028</v>
      </c>
      <c r="E25" s="12" t="str">
        <f>+TEXT(Tabla1[[#This Row],[fecha_revision]],"mmmm")</f>
        <v>Enero</v>
      </c>
      <c r="F25" s="3">
        <v>260075377226</v>
      </c>
      <c r="G25" s="1" t="str">
        <f t="shared" si="2"/>
        <v>'260075377226',</v>
      </c>
      <c r="H25" s="1" t="s">
        <v>54</v>
      </c>
      <c r="I25" s="1" t="s">
        <v>73</v>
      </c>
      <c r="J25" s="1" t="str">
        <f t="shared" si="3"/>
        <v>'inv_cDRcVo7JvNAmmM4bVhXxSB',</v>
      </c>
      <c r="K25" s="23" t="s">
        <v>10</v>
      </c>
      <c r="L25" s="1">
        <v>10</v>
      </c>
      <c r="M25" s="1">
        <v>10</v>
      </c>
      <c r="N25" s="23">
        <f t="shared" si="5"/>
        <v>0</v>
      </c>
      <c r="O25" s="23" t="s">
        <v>30</v>
      </c>
      <c r="P25" s="26" t="s">
        <v>31</v>
      </c>
      <c r="Q25" s="13">
        <v>968948</v>
      </c>
      <c r="R25" s="24">
        <v>46028</v>
      </c>
      <c r="S25" s="26" t="s">
        <v>32</v>
      </c>
      <c r="T25" s="5"/>
      <c r="U25" s="1"/>
      <c r="V25" s="1"/>
      <c r="W25" s="1"/>
      <c r="X25" s="1"/>
      <c r="Y2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'260075377226','VOUCHER_Currency': 'PEN','VOUCHER_Amount': 10,'VOUCHER_Operacion_PSP': '968948','VOUCHER_FECHA':'46028'},</v>
      </c>
      <c r="Z2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'260075377226','VOUCHER_Currency': 'PEN','VOUCHER_Amount': 10,'VOUCHER_Operacion_PSP': '968948','VOUCHER_FECHA':'46028'},</v>
      </c>
    </row>
    <row r="26" spans="1:26" x14ac:dyDescent="0.25">
      <c r="A26" s="20" t="s">
        <v>39</v>
      </c>
      <c r="B26" s="1" t="s">
        <v>40</v>
      </c>
      <c r="C26" s="1" t="s">
        <v>62</v>
      </c>
      <c r="D26" s="24">
        <v>46028</v>
      </c>
      <c r="E26" s="12" t="str">
        <f>+TEXT(Tabla1[[#This Row],[fecha_revision]],"mmmm")</f>
        <v>Enero</v>
      </c>
      <c r="F26" s="3">
        <v>260075377476</v>
      </c>
      <c r="G26" s="1" t="str">
        <f t="shared" si="2"/>
        <v>'260075377476',</v>
      </c>
      <c r="H26" s="1" t="s">
        <v>54</v>
      </c>
      <c r="I26" s="1" t="s">
        <v>74</v>
      </c>
      <c r="J26" s="1" t="str">
        <f t="shared" si="3"/>
        <v>'inv_gg3RCmBkZoQA2wjUWBww9C',</v>
      </c>
      <c r="K26" s="23" t="s">
        <v>10</v>
      </c>
      <c r="L26" s="1">
        <v>10</v>
      </c>
      <c r="M26" s="1">
        <v>10</v>
      </c>
      <c r="N26" s="23">
        <f t="shared" si="5"/>
        <v>0</v>
      </c>
      <c r="O26" s="23" t="s">
        <v>30</v>
      </c>
      <c r="P26" s="26" t="s">
        <v>31</v>
      </c>
      <c r="Q26" s="13">
        <v>972254</v>
      </c>
      <c r="R26" s="24">
        <v>46028</v>
      </c>
      <c r="S26" s="26" t="s">
        <v>32</v>
      </c>
      <c r="T26" s="5"/>
      <c r="U26" s="1"/>
      <c r="V26" s="1"/>
      <c r="W26" s="1"/>
      <c r="X26" s="1"/>
      <c r="Y2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'260075377476','VOUCHER_Currency': 'PEN','VOUCHER_Amount': 10,'VOUCHER_Operacion_PSP': '972254','VOUCHER_FECHA':'46028'},</v>
      </c>
      <c r="Z2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'260075377476','VOUCHER_Currency': 'PEN','VOUCHER_Amount': 10,'VOUCHER_Operacion_PSP': '972254','VOUCHER_FECHA':'46028'},</v>
      </c>
    </row>
    <row r="27" spans="1:26" x14ac:dyDescent="0.25">
      <c r="A27" s="20" t="s">
        <v>39</v>
      </c>
      <c r="B27" s="1" t="s">
        <v>40</v>
      </c>
      <c r="C27" s="1" t="s">
        <v>75</v>
      </c>
      <c r="D27" s="24">
        <v>46028</v>
      </c>
      <c r="E27" s="12" t="str">
        <f>+TEXT(Tabla1[[#This Row],[fecha_revision]],"mmmm")</f>
        <v>Enero</v>
      </c>
      <c r="F27" s="3">
        <v>260075377575</v>
      </c>
      <c r="G27" s="1" t="str">
        <f t="shared" si="2"/>
        <v>'260075377575',</v>
      </c>
      <c r="H27" s="1" t="s">
        <v>54</v>
      </c>
      <c r="I27" s="1" t="s">
        <v>76</v>
      </c>
      <c r="J27" s="1" t="str">
        <f t="shared" si="3"/>
        <v>'inv_3aipmAcY4UHqs3upeSwUsL',</v>
      </c>
      <c r="K27" s="23" t="s">
        <v>10</v>
      </c>
      <c r="L27" s="1">
        <v>80</v>
      </c>
      <c r="M27" s="1">
        <v>80</v>
      </c>
      <c r="N27" s="23">
        <f t="shared" si="5"/>
        <v>0</v>
      </c>
      <c r="O27" s="23" t="s">
        <v>30</v>
      </c>
      <c r="P27" s="26" t="s">
        <v>31</v>
      </c>
      <c r="Q27" s="13">
        <v>984742</v>
      </c>
      <c r="R27" s="24">
        <v>46028</v>
      </c>
      <c r="S27" s="26" t="s">
        <v>32</v>
      </c>
      <c r="T27" s="5"/>
      <c r="U27" s="1"/>
      <c r="V27" s="1"/>
      <c r="W27" s="1"/>
      <c r="X27" s="1"/>
      <c r="Y2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'260075377575','VOUCHER_Currency': 'PEN','VOUCHER_Amount': 80,'VOUCHER_Operacion_PSP': '984742','VOUCHER_FECHA':'46028'},</v>
      </c>
      <c r="Z2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'260075377575','VOUCHER_Currency': 'PEN','VOUCHER_Amount': 80,'VOUCHER_Operacion_PSP': '984742','VOUCHER_FECHA':'46028'},</v>
      </c>
    </row>
    <row r="28" spans="1:26" x14ac:dyDescent="0.25">
      <c r="A28" s="20" t="s">
        <v>39</v>
      </c>
      <c r="B28" s="1" t="s">
        <v>40</v>
      </c>
      <c r="C28" s="1" t="s">
        <v>62</v>
      </c>
      <c r="D28" s="24">
        <v>46028</v>
      </c>
      <c r="E28" s="12" t="str">
        <f>+TEXT(Tabla1[[#This Row],[fecha_revision]],"mmmm")</f>
        <v>Enero</v>
      </c>
      <c r="F28" s="3">
        <v>260075377776</v>
      </c>
      <c r="G28" s="1" t="str">
        <f t="shared" si="2"/>
        <v>'260075377776',</v>
      </c>
      <c r="H28" s="1" t="s">
        <v>54</v>
      </c>
      <c r="I28" s="1" t="s">
        <v>77</v>
      </c>
      <c r="J28" s="1" t="str">
        <f t="shared" si="3"/>
        <v>'inv_BB4vqWP5orjpowQ9vUr2dy',</v>
      </c>
      <c r="K28" s="23" t="s">
        <v>10</v>
      </c>
      <c r="L28" s="1">
        <v>3.4</v>
      </c>
      <c r="M28" s="1">
        <v>3.4</v>
      </c>
      <c r="N28" s="23">
        <f t="shared" si="5"/>
        <v>0</v>
      </c>
      <c r="O28" s="23" t="s">
        <v>30</v>
      </c>
      <c r="P28" s="26" t="s">
        <v>31</v>
      </c>
      <c r="Q28" s="13">
        <v>987011</v>
      </c>
      <c r="R28" s="24">
        <v>46028</v>
      </c>
      <c r="S28" s="26" t="s">
        <v>32</v>
      </c>
      <c r="T28" s="5"/>
      <c r="U28" s="1"/>
      <c r="V28" s="1"/>
      <c r="W28" s="1"/>
      <c r="X28" s="1"/>
      <c r="Y2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'260075377776','VOUCHER_Currency': 'PEN','VOUCHER_Amount': 3.4,'VOUCHER_Operacion_PSP': '987011','VOUCHER_FECHA':'46028'},</v>
      </c>
      <c r="Z2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'260075377776','VOUCHER_Currency': 'PEN','VOUCHER_Amount': 3.4,'VOUCHER_Operacion_PSP': '987011','VOUCHER_FECHA':'46028'},</v>
      </c>
    </row>
    <row r="29" spans="1:26" x14ac:dyDescent="0.25">
      <c r="A29" s="20" t="s">
        <v>39</v>
      </c>
      <c r="B29" s="1" t="s">
        <v>40</v>
      </c>
      <c r="C29" s="1" t="s">
        <v>33</v>
      </c>
      <c r="D29" s="24">
        <v>46028</v>
      </c>
      <c r="E29" s="12" t="str">
        <f>+TEXT(Tabla1[[#This Row],[fecha_revision]],"mmmm")</f>
        <v>Enero</v>
      </c>
      <c r="F29" s="3">
        <v>260075377863</v>
      </c>
      <c r="G29" s="1" t="str">
        <f t="shared" si="2"/>
        <v>'260075377863',</v>
      </c>
      <c r="H29" s="1" t="s">
        <v>54</v>
      </c>
      <c r="I29" s="1" t="s">
        <v>78</v>
      </c>
      <c r="J29" s="1" t="str">
        <f t="shared" si="3"/>
        <v>'inv_betRqcZgGQyrUtusgHgYjP',</v>
      </c>
      <c r="K29" s="23" t="s">
        <v>10</v>
      </c>
      <c r="L29" s="1">
        <v>30</v>
      </c>
      <c r="M29" s="1">
        <v>30</v>
      </c>
      <c r="N29" s="23">
        <f t="shared" si="5"/>
        <v>0</v>
      </c>
      <c r="O29" s="23" t="s">
        <v>30</v>
      </c>
      <c r="P29" s="26" t="s">
        <v>31</v>
      </c>
      <c r="Q29" s="13">
        <v>975483</v>
      </c>
      <c r="R29" s="24">
        <v>46028</v>
      </c>
      <c r="S29" s="26" t="s">
        <v>32</v>
      </c>
      <c r="T29" s="5"/>
      <c r="U29" s="1"/>
      <c r="V29" s="1"/>
      <c r="W29" s="1"/>
      <c r="X29" s="1"/>
      <c r="Y2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'260075377863','VOUCHER_Currency': 'PEN','VOUCHER_Amount': 30,'VOUCHER_Operacion_PSP': '975483','VOUCHER_FECHA':'46028'},</v>
      </c>
      <c r="Z2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'260075377863','VOUCHER_Currency': 'PEN','VOUCHER_Amount': 30,'VOUCHER_Operacion_PSP': '975483','VOUCHER_FECHA':'46028'},</v>
      </c>
    </row>
    <row r="30" spans="1:26" x14ac:dyDescent="0.25">
      <c r="A30" s="20" t="s">
        <v>39</v>
      </c>
      <c r="B30" s="1" t="s">
        <v>40</v>
      </c>
      <c r="C30" s="1" t="s">
        <v>79</v>
      </c>
      <c r="D30" s="24">
        <v>46028</v>
      </c>
      <c r="E30" s="12" t="str">
        <f>+TEXT(Tabla1[[#This Row],[fecha_revision]],"mmmm")</f>
        <v>Enero</v>
      </c>
      <c r="F30" s="3">
        <v>260075378534</v>
      </c>
      <c r="G30" s="1" t="str">
        <f t="shared" si="2"/>
        <v>'260075378534',</v>
      </c>
      <c r="H30" s="1" t="s">
        <v>54</v>
      </c>
      <c r="I30" s="1" t="s">
        <v>80</v>
      </c>
      <c r="J30" s="1" t="str">
        <f t="shared" si="3"/>
        <v>'inv_GpWE2tv3PQE8vXkSK4UjBQ',</v>
      </c>
      <c r="K30" s="23" t="s">
        <v>10</v>
      </c>
      <c r="L30" s="1">
        <v>100</v>
      </c>
      <c r="M30" s="1">
        <v>100</v>
      </c>
      <c r="N30" s="23">
        <f t="shared" si="5"/>
        <v>0</v>
      </c>
      <c r="O30" s="23" t="s">
        <v>30</v>
      </c>
      <c r="P30" s="26" t="s">
        <v>31</v>
      </c>
      <c r="Q30" s="13">
        <v>986882</v>
      </c>
      <c r="R30" s="24">
        <v>46028</v>
      </c>
      <c r="S30" s="26" t="s">
        <v>32</v>
      </c>
      <c r="T30" s="5"/>
      <c r="U30" s="1"/>
      <c r="V30" s="1"/>
      <c r="W30" s="1"/>
      <c r="X30" s="1"/>
      <c r="Y3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'260075378534','VOUCHER_Currency': 'PEN','VOUCHER_Amount': 100,'VOUCHER_Operacion_PSP': '986882','VOUCHER_FECHA':'46028'},</v>
      </c>
      <c r="Z3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'260075378534','VOUCHER_Currency': 'PEN','VOUCHER_Amount': 100,'VOUCHER_Operacion_PSP': '986882','VOUCHER_FECHA':'46028'},</v>
      </c>
    </row>
    <row r="31" spans="1:26" x14ac:dyDescent="0.25">
      <c r="A31" s="20" t="s">
        <v>39</v>
      </c>
      <c r="B31" s="1" t="s">
        <v>40</v>
      </c>
      <c r="C31" s="1" t="s">
        <v>62</v>
      </c>
      <c r="D31" s="24">
        <v>46028</v>
      </c>
      <c r="E31" s="12" t="str">
        <f>+TEXT(Tabla1[[#This Row],[fecha_revision]],"mmmm")</f>
        <v>Enero</v>
      </c>
      <c r="F31" s="3">
        <v>260075378952</v>
      </c>
      <c r="G31" s="1" t="str">
        <f t="shared" si="2"/>
        <v>'260075378952',</v>
      </c>
      <c r="H31" s="1" t="s">
        <v>54</v>
      </c>
      <c r="I31" s="1" t="s">
        <v>81</v>
      </c>
      <c r="J31" s="1" t="str">
        <f t="shared" si="3"/>
        <v>'inv_jReaU2DxvhwM6HoFBGWv77',</v>
      </c>
      <c r="K31" s="23" t="s">
        <v>10</v>
      </c>
      <c r="L31" s="1">
        <v>7.16</v>
      </c>
      <c r="M31" s="1">
        <v>7.16</v>
      </c>
      <c r="N31" s="23">
        <f t="shared" si="5"/>
        <v>0</v>
      </c>
      <c r="O31" s="23" t="s">
        <v>30</v>
      </c>
      <c r="P31" s="26" t="s">
        <v>31</v>
      </c>
      <c r="Q31" s="13">
        <v>986518</v>
      </c>
      <c r="R31" s="24">
        <v>46028</v>
      </c>
      <c r="S31" s="26" t="s">
        <v>32</v>
      </c>
      <c r="T31" s="5"/>
      <c r="U31" s="1"/>
      <c r="V31" s="1"/>
      <c r="W31" s="1"/>
      <c r="X31" s="1"/>
      <c r="Y3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'260075378952','VOUCHER_Currency': 'PEN','VOUCHER_Amount': 7.16,'VOUCHER_Operacion_PSP': '986518','VOUCHER_FECHA':'46028'},</v>
      </c>
      <c r="Z3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'260075378952','VOUCHER_Currency': 'PEN','VOUCHER_Amount': 7.16,'VOUCHER_Operacion_PSP': '986518','VOUCHER_FECHA':'46028'},</v>
      </c>
    </row>
    <row r="32" spans="1:26" x14ac:dyDescent="0.25">
      <c r="A32" s="20" t="s">
        <v>39</v>
      </c>
      <c r="B32" s="1" t="s">
        <v>40</v>
      </c>
      <c r="C32" s="1" t="s">
        <v>79</v>
      </c>
      <c r="D32" s="24">
        <v>46028</v>
      </c>
      <c r="E32" s="12" t="str">
        <f>+TEXT(Tabla1[[#This Row],[fecha_revision]],"mmmm")</f>
        <v>Enero</v>
      </c>
      <c r="F32" s="3">
        <v>260075379646</v>
      </c>
      <c r="G32" s="1" t="str">
        <f t="shared" si="2"/>
        <v>'260075379646',</v>
      </c>
      <c r="H32" s="1" t="s">
        <v>54</v>
      </c>
      <c r="I32" s="1" t="s">
        <v>82</v>
      </c>
      <c r="J32" s="1" t="str">
        <f t="shared" si="3"/>
        <v>'inv_42x2xzs73svK5ALJkoNHRZ',</v>
      </c>
      <c r="K32" s="23" t="s">
        <v>10</v>
      </c>
      <c r="L32" s="1">
        <v>100</v>
      </c>
      <c r="M32" s="1">
        <v>100</v>
      </c>
      <c r="N32" s="23">
        <f t="shared" si="5"/>
        <v>0</v>
      </c>
      <c r="O32" s="23" t="s">
        <v>30</v>
      </c>
      <c r="P32" s="26" t="s">
        <v>31</v>
      </c>
      <c r="Q32" s="13">
        <v>983376</v>
      </c>
      <c r="R32" s="24">
        <v>46028</v>
      </c>
      <c r="S32" s="26" t="s">
        <v>32</v>
      </c>
      <c r="T32" s="5"/>
      <c r="U32" s="1"/>
      <c r="V32" s="1"/>
      <c r="W32" s="1"/>
      <c r="X32" s="1"/>
      <c r="Y3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'260075379646','VOUCHER_Currency': 'PEN','VOUCHER_Amount': 100,'VOUCHER_Operacion_PSP': '983376','VOUCHER_FECHA':'46028'},</v>
      </c>
      <c r="Z3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'260075379646','VOUCHER_Currency': 'PEN','VOUCHER_Amount': 100,'VOUCHER_Operacion_PSP': '983376','VOUCHER_FECHA':'46028'},</v>
      </c>
    </row>
    <row r="33" spans="1:26" x14ac:dyDescent="0.25">
      <c r="A33" s="20" t="s">
        <v>39</v>
      </c>
      <c r="B33" s="1" t="s">
        <v>40</v>
      </c>
      <c r="C33" s="1" t="s">
        <v>27</v>
      </c>
      <c r="D33" s="24">
        <v>46028</v>
      </c>
      <c r="E33" s="12" t="str">
        <f>+TEXT(Tabla1[[#This Row],[fecha_revision]],"mmmm")</f>
        <v>Enero</v>
      </c>
      <c r="F33" s="3">
        <v>260075380482</v>
      </c>
      <c r="G33" s="1" t="str">
        <f t="shared" si="2"/>
        <v>'260075380482',</v>
      </c>
      <c r="H33" s="1" t="s">
        <v>54</v>
      </c>
      <c r="I33" s="1" t="s">
        <v>83</v>
      </c>
      <c r="J33" s="1" t="str">
        <f t="shared" si="3"/>
        <v>'inv_BJoU9MNhhbBk98gbuBBk6W',</v>
      </c>
      <c r="K33" s="23" t="s">
        <v>10</v>
      </c>
      <c r="L33" s="1">
        <v>300</v>
      </c>
      <c r="M33" s="1">
        <v>300</v>
      </c>
      <c r="N33" s="23">
        <f t="shared" si="5"/>
        <v>0</v>
      </c>
      <c r="O33" s="23" t="s">
        <v>30</v>
      </c>
      <c r="P33" s="26" t="s">
        <v>31</v>
      </c>
      <c r="Q33" s="13">
        <v>988984</v>
      </c>
      <c r="R33" s="24">
        <v>46028</v>
      </c>
      <c r="S33" s="26" t="s">
        <v>32</v>
      </c>
      <c r="T33" s="5"/>
      <c r="U33" s="1"/>
      <c r="V33" s="1"/>
      <c r="W33" s="1"/>
      <c r="X33" s="1"/>
      <c r="Y3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'260075380482','VOUCHER_Currency': 'PEN','VOUCHER_Amount': 300,'VOUCHER_Operacion_PSP': '988984','VOUCHER_FECHA':'46028'},</v>
      </c>
      <c r="Z3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'260075380482','VOUCHER_Currency': 'PEN','VOUCHER_Amount': 300,'VOUCHER_Operacion_PSP': '988984','VOUCHER_FECHA':'46028'},</v>
      </c>
    </row>
    <row r="34" spans="1:26" x14ac:dyDescent="0.25">
      <c r="A34" s="1">
        <v>23007</v>
      </c>
      <c r="B34" s="1" t="s">
        <v>26</v>
      </c>
      <c r="C34" s="1" t="s">
        <v>84</v>
      </c>
      <c r="D34" s="12">
        <v>46029</v>
      </c>
      <c r="E34" s="12" t="str">
        <f>+TEXT(Tabla1[[#This Row],[fecha_revision]],"mmmm")</f>
        <v>Enero</v>
      </c>
      <c r="F34" s="3">
        <v>260029134045</v>
      </c>
      <c r="G34" s="1" t="str">
        <f t="shared" si="2"/>
        <v>'260029134045',</v>
      </c>
      <c r="H34" s="1" t="s">
        <v>28</v>
      </c>
      <c r="I34" s="1" t="s">
        <v>85</v>
      </c>
      <c r="J34" s="1" t="str">
        <f t="shared" si="3"/>
        <v>'inv_PxkHasi3xzEcegi88t7wvK',</v>
      </c>
      <c r="K34" s="1" t="s">
        <v>10</v>
      </c>
      <c r="L34" s="1">
        <v>212.6</v>
      </c>
      <c r="M34" s="1">
        <v>212.6</v>
      </c>
      <c r="N34" s="1">
        <f t="shared" ref="N34:N65" si="6">+L34-M34</f>
        <v>0</v>
      </c>
      <c r="O34" s="1" t="s">
        <v>30</v>
      </c>
      <c r="P34" s="4" t="s">
        <v>31</v>
      </c>
      <c r="Q34" s="13">
        <v>2507875</v>
      </c>
      <c r="R34" s="24">
        <v>46024</v>
      </c>
      <c r="S34" s="4" t="s">
        <v>32</v>
      </c>
      <c r="T34" s="5"/>
      <c r="U34" s="1"/>
      <c r="V34" s="1"/>
      <c r="W34" s="1"/>
      <c r="X34" s="1"/>
      <c r="Y3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'260029134045','VOUCHER_Currency': 'PEN','VOUCHER_Amount': 212.6,'VOUCHER_Operacion_PSP': '2507875','VOUCHER_FECHA':'46024'},</v>
      </c>
      <c r="Z3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'260029134045','VOUCHER_Currency': 'PEN','VOUCHER_Amount': 212.6,'VOUCHER_Operacion_PSP': '2507875','VOUCHER_FECHA':'46024'},</v>
      </c>
    </row>
    <row r="35" spans="1:26" x14ac:dyDescent="0.25">
      <c r="A35" s="1" t="s">
        <v>39</v>
      </c>
      <c r="B35" s="1" t="s">
        <v>40</v>
      </c>
      <c r="C35" s="1" t="s">
        <v>86</v>
      </c>
      <c r="D35" s="12">
        <v>46033</v>
      </c>
      <c r="E35" s="12" t="str">
        <f>+TEXT(Tabla1[[#This Row],[fecha_revision]],"mmmm")</f>
        <v>Enero</v>
      </c>
      <c r="F35" s="3">
        <v>260110860295</v>
      </c>
      <c r="G35" s="1" t="str">
        <f t="shared" si="2"/>
        <v>'260110860295',</v>
      </c>
      <c r="H35" s="1" t="s">
        <v>34</v>
      </c>
      <c r="I35" s="1" t="s">
        <v>87</v>
      </c>
      <c r="J35" s="1" t="str">
        <f t="shared" si="3"/>
        <v>'inv_Tb4LYNtofJQFsEtQc34aFT',</v>
      </c>
      <c r="K35" s="1" t="s">
        <v>10</v>
      </c>
      <c r="L35" s="1">
        <v>100</v>
      </c>
      <c r="M35" s="1">
        <v>100</v>
      </c>
      <c r="N35" s="1">
        <f t="shared" si="6"/>
        <v>0</v>
      </c>
      <c r="O35" s="1" t="s">
        <v>30</v>
      </c>
      <c r="P35" s="4" t="s">
        <v>31</v>
      </c>
      <c r="Q35" s="13">
        <v>730401</v>
      </c>
      <c r="R35" s="12">
        <v>46033</v>
      </c>
      <c r="S35" s="4" t="s">
        <v>32</v>
      </c>
      <c r="T35" s="5"/>
      <c r="U35" s="1"/>
      <c r="V35" s="1"/>
      <c r="W35" s="1"/>
      <c r="X35" s="1"/>
      <c r="Y3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'260110860295','VOUCHER_Currency': 'PEN','VOUCHER_Amount': 100,'VOUCHER_Operacion_PSP': '730401','VOUCHER_FECHA':'46033'},</v>
      </c>
      <c r="Z3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'260110860295','VOUCHER_Currency': 'PEN','VOUCHER_Amount': 100,'VOUCHER_Operacion_PSP': '730401','VOUCHER_FECHA':'46033'},</v>
      </c>
    </row>
    <row r="36" spans="1:26" x14ac:dyDescent="0.25">
      <c r="A36" s="1" t="s">
        <v>39</v>
      </c>
      <c r="B36" s="1" t="s">
        <v>40</v>
      </c>
      <c r="C36" s="1" t="s">
        <v>33</v>
      </c>
      <c r="D36" s="12">
        <v>46033</v>
      </c>
      <c r="E36" s="12" t="str">
        <f>+TEXT(Tabla1[[#This Row],[fecha_revision]],"mmmm")</f>
        <v>Enero</v>
      </c>
      <c r="F36" s="3">
        <v>260110860198</v>
      </c>
      <c r="G36" s="1" t="str">
        <f t="shared" si="2"/>
        <v>'260110860198',</v>
      </c>
      <c r="H36" s="1" t="s">
        <v>34</v>
      </c>
      <c r="I36" s="1" t="s">
        <v>88</v>
      </c>
      <c r="J36" s="1" t="str">
        <f t="shared" si="3"/>
        <v>'inv_GNopfRFoew3K8CqYATkR5p',</v>
      </c>
      <c r="K36" s="1" t="s">
        <v>10</v>
      </c>
      <c r="L36" s="1">
        <v>500</v>
      </c>
      <c r="M36" s="1">
        <v>500</v>
      </c>
      <c r="N36" s="1">
        <f t="shared" si="6"/>
        <v>0</v>
      </c>
      <c r="O36" s="1" t="s">
        <v>30</v>
      </c>
      <c r="P36" s="4" t="s">
        <v>31</v>
      </c>
      <c r="Q36" s="13">
        <v>730484</v>
      </c>
      <c r="R36" s="12">
        <v>46033</v>
      </c>
      <c r="S36" s="4" t="s">
        <v>32</v>
      </c>
      <c r="T36" s="5"/>
      <c r="U36" s="1"/>
      <c r="V36" s="1"/>
      <c r="W36" s="1"/>
      <c r="X36" s="1"/>
      <c r="Y3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'260110860198','VOUCHER_Currency': 'PEN','VOUCHER_Amount': 500,'VOUCHER_Operacion_PSP': '730484','VOUCHER_FECHA':'46033'},</v>
      </c>
      <c r="Z3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'260110860198','VOUCHER_Currency': 'PEN','VOUCHER_Amount': 500,'VOUCHER_Operacion_PSP': '730484','VOUCHER_FECHA':'46033'},</v>
      </c>
    </row>
    <row r="37" spans="1:26" x14ac:dyDescent="0.25">
      <c r="A37" s="1" t="s">
        <v>39</v>
      </c>
      <c r="B37" s="1" t="s">
        <v>40</v>
      </c>
      <c r="C37" s="1" t="s">
        <v>62</v>
      </c>
      <c r="D37" s="12">
        <v>46033</v>
      </c>
      <c r="E37" s="12" t="str">
        <f>+TEXT(Tabla1[[#This Row],[fecha_revision]],"mmmm")</f>
        <v>Enero</v>
      </c>
      <c r="F37" s="3">
        <v>260110864295</v>
      </c>
      <c r="G37" s="1" t="str">
        <f t="shared" si="2"/>
        <v>'260110864295',</v>
      </c>
      <c r="H37" s="1" t="s">
        <v>34</v>
      </c>
      <c r="I37" s="1" t="s">
        <v>89</v>
      </c>
      <c r="J37" s="1" t="str">
        <f t="shared" si="3"/>
        <v>'inv_EkzEpLKDDfPMU5sjDPjpsU',</v>
      </c>
      <c r="K37" s="1" t="s">
        <v>10</v>
      </c>
      <c r="L37" s="1">
        <v>3.4</v>
      </c>
      <c r="M37" s="1">
        <v>3.4</v>
      </c>
      <c r="N37" s="1">
        <f t="shared" si="6"/>
        <v>0</v>
      </c>
      <c r="O37" s="1" t="s">
        <v>30</v>
      </c>
      <c r="P37" s="4" t="s">
        <v>31</v>
      </c>
      <c r="Q37" s="13">
        <v>732890</v>
      </c>
      <c r="R37" s="12">
        <v>46033</v>
      </c>
      <c r="S37" s="4" t="s">
        <v>32</v>
      </c>
      <c r="T37" s="5"/>
      <c r="U37" s="1"/>
      <c r="V37" s="1"/>
      <c r="W37" s="1"/>
      <c r="X37" s="1"/>
      <c r="Y3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'260110864295','VOUCHER_Currency': 'PEN','VOUCHER_Amount': 3.4,'VOUCHER_Operacion_PSP': '732890','VOUCHER_FECHA':'46033'},</v>
      </c>
      <c r="Z3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'260110864295','VOUCHER_Currency': 'PEN','VOUCHER_Amount': 3.4,'VOUCHER_Operacion_PSP': '732890','VOUCHER_FECHA':'46033'},</v>
      </c>
    </row>
    <row r="38" spans="1:26" x14ac:dyDescent="0.25">
      <c r="A38" s="1" t="s">
        <v>39</v>
      </c>
      <c r="B38" s="1" t="s">
        <v>40</v>
      </c>
      <c r="C38" s="1" t="s">
        <v>27</v>
      </c>
      <c r="D38" s="12">
        <v>46033</v>
      </c>
      <c r="E38" s="12" t="str">
        <f>+TEXT(Tabla1[[#This Row],[fecha_revision]],"mmmm")</f>
        <v>Enero</v>
      </c>
      <c r="F38" s="3">
        <v>260110865235</v>
      </c>
      <c r="G38" s="1" t="str">
        <f t="shared" si="2"/>
        <v>'260110865235',</v>
      </c>
      <c r="H38" s="1" t="s">
        <v>34</v>
      </c>
      <c r="I38" s="1" t="s">
        <v>90</v>
      </c>
      <c r="J38" s="1" t="str">
        <f t="shared" si="3"/>
        <v>'inv_KF6JTTMqhyT64teXwkw4GZ',</v>
      </c>
      <c r="K38" s="1" t="s">
        <v>10</v>
      </c>
      <c r="L38" s="1">
        <v>20</v>
      </c>
      <c r="M38" s="1">
        <v>20</v>
      </c>
      <c r="N38" s="1">
        <f t="shared" si="6"/>
        <v>0</v>
      </c>
      <c r="O38" s="1" t="s">
        <v>30</v>
      </c>
      <c r="P38" s="4" t="s">
        <v>31</v>
      </c>
      <c r="Q38" s="13">
        <v>732951</v>
      </c>
      <c r="R38" s="12">
        <v>46033</v>
      </c>
      <c r="S38" s="4" t="s">
        <v>32</v>
      </c>
      <c r="T38" s="5"/>
      <c r="U38" s="1"/>
      <c r="V38" s="1"/>
      <c r="W38" s="1"/>
      <c r="X38" s="1"/>
      <c r="Y3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'260110865235','VOUCHER_Currency': 'PEN','VOUCHER_Amount': 20,'VOUCHER_Operacion_PSP': '732951','VOUCHER_FECHA':'46033'},</v>
      </c>
      <c r="Z3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'260110865235','VOUCHER_Currency': 'PEN','VOUCHER_Amount': 20,'VOUCHER_Operacion_PSP': '732951','VOUCHER_FECHA':'46033'},</v>
      </c>
    </row>
    <row r="39" spans="1:26" x14ac:dyDescent="0.25">
      <c r="A39" s="1" t="s">
        <v>39</v>
      </c>
      <c r="B39" s="1" t="s">
        <v>40</v>
      </c>
      <c r="C39" s="1" t="s">
        <v>62</v>
      </c>
      <c r="D39" s="12">
        <v>46033</v>
      </c>
      <c r="E39" s="12" t="str">
        <f>+TEXT(Tabla1[[#This Row],[fecha_revision]],"mmmm")</f>
        <v>Enero</v>
      </c>
      <c r="F39" s="3">
        <v>260110864977</v>
      </c>
      <c r="G39" s="1" t="str">
        <f t="shared" si="2"/>
        <v>'260110864977',</v>
      </c>
      <c r="H39" s="1" t="s">
        <v>34</v>
      </c>
      <c r="I39" s="1" t="s">
        <v>91</v>
      </c>
      <c r="J39" s="1" t="str">
        <f t="shared" si="3"/>
        <v>'inv_Aef6YoKHH5He7qusQuqXWR',</v>
      </c>
      <c r="K39" s="1" t="s">
        <v>10</v>
      </c>
      <c r="L39" s="1">
        <v>3.4</v>
      </c>
      <c r="M39" s="1">
        <v>3.4</v>
      </c>
      <c r="N39" s="1">
        <f t="shared" si="6"/>
        <v>0</v>
      </c>
      <c r="O39" s="1" t="s">
        <v>30</v>
      </c>
      <c r="P39" s="4" t="s">
        <v>31</v>
      </c>
      <c r="Q39" s="13">
        <v>732999</v>
      </c>
      <c r="R39" s="12">
        <v>46033</v>
      </c>
      <c r="S39" s="4" t="s">
        <v>32</v>
      </c>
      <c r="T39" s="5"/>
      <c r="U39" s="1"/>
      <c r="V39" s="1"/>
      <c r="W39" s="1"/>
      <c r="X39" s="1"/>
      <c r="Y3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'260110864977','VOUCHER_Currency': 'PEN','VOUCHER_Amount': 3.4,'VOUCHER_Operacion_PSP': '732999','VOUCHER_FECHA':'46033'},</v>
      </c>
      <c r="Z3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'260110864977','VOUCHER_Currency': 'PEN','VOUCHER_Amount': 3.4,'VOUCHER_Operacion_PSP': '732999','VOUCHER_FECHA':'46033'},</v>
      </c>
    </row>
    <row r="40" spans="1:26" x14ac:dyDescent="0.25">
      <c r="A40" s="1" t="s">
        <v>39</v>
      </c>
      <c r="B40" s="1" t="s">
        <v>40</v>
      </c>
      <c r="C40" s="1" t="s">
        <v>33</v>
      </c>
      <c r="D40" s="12">
        <v>46033</v>
      </c>
      <c r="E40" s="12" t="str">
        <f>+TEXT(Tabla1[[#This Row],[fecha_revision]],"mmmm")</f>
        <v>Enero</v>
      </c>
      <c r="F40" s="3">
        <v>260110866167</v>
      </c>
      <c r="G40" s="1" t="str">
        <f t="shared" si="2"/>
        <v>'260110866167',</v>
      </c>
      <c r="H40" s="1" t="s">
        <v>34</v>
      </c>
      <c r="I40" s="1" t="s">
        <v>92</v>
      </c>
      <c r="J40" s="1" t="str">
        <f t="shared" si="3"/>
        <v>'inv_Bkj4xSnrstzuRuyTABYgy2',</v>
      </c>
      <c r="K40" s="1" t="s">
        <v>10</v>
      </c>
      <c r="L40" s="1">
        <v>55</v>
      </c>
      <c r="M40" s="1">
        <v>55</v>
      </c>
      <c r="N40" s="1">
        <f t="shared" si="6"/>
        <v>0</v>
      </c>
      <c r="O40" s="1" t="s">
        <v>30</v>
      </c>
      <c r="P40" s="4" t="s">
        <v>31</v>
      </c>
      <c r="Q40" s="13">
        <v>733236</v>
      </c>
      <c r="R40" s="12">
        <v>46033</v>
      </c>
      <c r="S40" s="4" t="s">
        <v>32</v>
      </c>
      <c r="T40" s="5"/>
      <c r="U40" s="1"/>
      <c r="V40" s="1"/>
      <c r="W40" s="1"/>
      <c r="X40" s="1"/>
      <c r="Y4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'260110866167','VOUCHER_Currency': 'PEN','VOUCHER_Amount': 55,'VOUCHER_Operacion_PSP': '733236','VOUCHER_FECHA':'46033'},</v>
      </c>
      <c r="Z4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'260110866167','VOUCHER_Currency': 'PEN','VOUCHER_Amount': 55,'VOUCHER_Operacion_PSP': '733236','VOUCHER_FECHA':'46033'},</v>
      </c>
    </row>
    <row r="41" spans="1:26" x14ac:dyDescent="0.25">
      <c r="A41" s="1" t="s">
        <v>39</v>
      </c>
      <c r="B41" s="1" t="s">
        <v>40</v>
      </c>
      <c r="C41" s="1" t="s">
        <v>33</v>
      </c>
      <c r="D41" s="12">
        <v>46033</v>
      </c>
      <c r="E41" s="12" t="str">
        <f>+TEXT(Tabla1[[#This Row],[fecha_revision]],"mmmm")</f>
        <v>Enero</v>
      </c>
      <c r="F41" s="3">
        <v>260110866279</v>
      </c>
      <c r="G41" s="1" t="str">
        <f t="shared" si="2"/>
        <v>'260110866279',</v>
      </c>
      <c r="H41" s="1" t="s">
        <v>34</v>
      </c>
      <c r="I41" s="1" t="s">
        <v>93</v>
      </c>
      <c r="J41" s="1" t="str">
        <f t="shared" si="3"/>
        <v>'inv_mrh4yCADKaup4TNEr6aKZ4',</v>
      </c>
      <c r="K41" s="1" t="s">
        <v>10</v>
      </c>
      <c r="L41" s="1">
        <v>50</v>
      </c>
      <c r="M41" s="1">
        <v>50</v>
      </c>
      <c r="N41" s="1">
        <f t="shared" si="6"/>
        <v>0</v>
      </c>
      <c r="O41" s="1" t="s">
        <v>30</v>
      </c>
      <c r="P41" s="4" t="s">
        <v>31</v>
      </c>
      <c r="Q41" s="13">
        <v>733279</v>
      </c>
      <c r="R41" s="12">
        <v>46033</v>
      </c>
      <c r="S41" s="4" t="s">
        <v>32</v>
      </c>
      <c r="T41" s="5"/>
      <c r="U41" s="1"/>
      <c r="V41" s="1"/>
      <c r="W41" s="1"/>
      <c r="X41" s="1"/>
      <c r="Y4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'260110866279','VOUCHER_Currency': 'PEN','VOUCHER_Amount': 50,'VOUCHER_Operacion_PSP': '733279','VOUCHER_FECHA':'46033'},</v>
      </c>
      <c r="Z4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'260110866279','VOUCHER_Currency': 'PEN','VOUCHER_Amount': 50,'VOUCHER_Operacion_PSP': '733279','VOUCHER_FECHA':'46033'},</v>
      </c>
    </row>
    <row r="42" spans="1:26" x14ac:dyDescent="0.25">
      <c r="A42" s="1" t="s">
        <v>39</v>
      </c>
      <c r="B42" s="1" t="s">
        <v>40</v>
      </c>
      <c r="C42" s="30" t="s">
        <v>94</v>
      </c>
      <c r="D42" s="12">
        <v>46033</v>
      </c>
      <c r="E42" s="12" t="str">
        <f>+TEXT(Tabla1[[#This Row],[fecha_revision]],"mmmm")</f>
        <v>Enero</v>
      </c>
      <c r="F42" s="3">
        <v>260110865509</v>
      </c>
      <c r="G42" s="1" t="str">
        <f t="shared" si="2"/>
        <v>'260110865509',</v>
      </c>
      <c r="H42" s="1" t="s">
        <v>34</v>
      </c>
      <c r="I42" s="1" t="s">
        <v>95</v>
      </c>
      <c r="J42" s="1" t="str">
        <f t="shared" si="3"/>
        <v>'inv_7VcqrpyugzcY8HHqDPb2Xr',</v>
      </c>
      <c r="K42" s="1" t="s">
        <v>10</v>
      </c>
      <c r="L42" s="1">
        <v>100</v>
      </c>
      <c r="M42" s="1">
        <v>100</v>
      </c>
      <c r="N42" s="1">
        <f t="shared" si="6"/>
        <v>0</v>
      </c>
      <c r="O42" s="1" t="s">
        <v>30</v>
      </c>
      <c r="P42" s="4" t="s">
        <v>31</v>
      </c>
      <c r="Q42" s="13">
        <v>733402</v>
      </c>
      <c r="R42" s="12">
        <v>46033</v>
      </c>
      <c r="S42" s="4" t="s">
        <v>32</v>
      </c>
      <c r="T42" s="5"/>
      <c r="U42" s="1"/>
      <c r="V42" s="1"/>
      <c r="W42" s="1"/>
      <c r="X42" s="1"/>
      <c r="Y4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'260110865509','VOUCHER_Currency': 'PEN','VOUCHER_Amount': 100,'VOUCHER_Operacion_PSP': '733402','VOUCHER_FECHA':'46033'},</v>
      </c>
      <c r="Z4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'260110865509','VOUCHER_Currency': 'PEN','VOUCHER_Amount': 100,'VOUCHER_Operacion_PSP': '733402','VOUCHER_FECHA':'46033'},</v>
      </c>
    </row>
    <row r="43" spans="1:26" x14ac:dyDescent="0.25">
      <c r="A43" s="1" t="s">
        <v>39</v>
      </c>
      <c r="B43" s="1" t="s">
        <v>40</v>
      </c>
      <c r="C43" s="1" t="s">
        <v>50</v>
      </c>
      <c r="D43" s="12">
        <v>46033</v>
      </c>
      <c r="E43" s="12" t="str">
        <f>+TEXT(Tabla1[[#This Row],[fecha_revision]],"mmmm")</f>
        <v>Enero</v>
      </c>
      <c r="F43" s="3">
        <v>253146563801</v>
      </c>
      <c r="G43" s="1" t="str">
        <f t="shared" si="2"/>
        <v>'253146563801',</v>
      </c>
      <c r="H43" s="1" t="s">
        <v>96</v>
      </c>
      <c r="I43" s="1" t="s">
        <v>97</v>
      </c>
      <c r="J43" s="1" t="str">
        <f t="shared" si="3"/>
        <v>'inv_X4uKiF2tYN7Yn2KDB7iKpH',</v>
      </c>
      <c r="K43" s="1" t="s">
        <v>10</v>
      </c>
      <c r="L43" s="1">
        <v>72</v>
      </c>
      <c r="M43" s="1">
        <v>72</v>
      </c>
      <c r="N43" s="1">
        <f t="shared" si="6"/>
        <v>0</v>
      </c>
      <c r="O43" s="1" t="s">
        <v>30</v>
      </c>
      <c r="P43" s="4" t="s">
        <v>31</v>
      </c>
      <c r="Q43" s="13">
        <v>730634</v>
      </c>
      <c r="R43" s="12">
        <v>46033</v>
      </c>
      <c r="S43" s="4" t="s">
        <v>32</v>
      </c>
      <c r="T43" s="5"/>
      <c r="U43" s="1"/>
      <c r="V43" s="1"/>
      <c r="W43" s="1"/>
      <c r="X43" s="1"/>
      <c r="Y4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'253146563801','VOUCHER_Currency': 'PEN','VOUCHER_Amount': 72,'VOUCHER_Operacion_PSP': '730634','VOUCHER_FECHA':'46033'},</v>
      </c>
      <c r="Z4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'253146563801','VOUCHER_Currency': 'PEN','VOUCHER_Amount': 72,'VOUCHER_Operacion_PSP': '730634','VOUCHER_FECHA':'46033'},</v>
      </c>
    </row>
    <row r="44" spans="1:26" x14ac:dyDescent="0.25">
      <c r="A44" s="1">
        <v>23123</v>
      </c>
      <c r="B44" s="1" t="s">
        <v>26</v>
      </c>
      <c r="C44" s="1" t="s">
        <v>33</v>
      </c>
      <c r="D44" s="12">
        <v>46034</v>
      </c>
      <c r="E44" s="12" t="str">
        <f>+TEXT(Tabla1[[#This Row],[fecha_revision]],"mmmm")</f>
        <v>Enero</v>
      </c>
      <c r="F44" s="3">
        <v>260109617295</v>
      </c>
      <c r="G44" s="1" t="str">
        <f t="shared" si="2"/>
        <v>'260109617295',</v>
      </c>
      <c r="H44" s="1" t="s">
        <v>28</v>
      </c>
      <c r="I44" s="1" t="s">
        <v>98</v>
      </c>
      <c r="J44" s="1" t="str">
        <f t="shared" si="3"/>
        <v>'inv_4TLpXXkgfVYocc9QNsMKDN',</v>
      </c>
      <c r="K44" s="1" t="s">
        <v>10</v>
      </c>
      <c r="L44" s="1">
        <v>100</v>
      </c>
      <c r="M44" s="1">
        <v>100</v>
      </c>
      <c r="N44" s="1">
        <f t="shared" si="6"/>
        <v>0</v>
      </c>
      <c r="O44" s="1" t="s">
        <v>30</v>
      </c>
      <c r="P44" s="4" t="s">
        <v>31</v>
      </c>
      <c r="Q44" s="13">
        <v>81142</v>
      </c>
      <c r="R44" s="12">
        <v>46032</v>
      </c>
      <c r="S44" s="4" t="s">
        <v>32</v>
      </c>
      <c r="T44" s="5"/>
      <c r="U44" s="1"/>
      <c r="V44" s="1"/>
      <c r="W44" s="1"/>
      <c r="X44" s="1"/>
      <c r="Y4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'260109617295','VOUCHER_Currency': 'PEN','VOUCHER_Amount': 100,'VOUCHER_Operacion_PSP': '81142','VOUCHER_FECHA':'46032'},</v>
      </c>
      <c r="Z4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'260109617295','VOUCHER_Currency': 'PEN','VOUCHER_Amount': 100,'VOUCHER_Operacion_PSP': '81142','VOUCHER_FECHA':'46032'},</v>
      </c>
    </row>
    <row r="45" spans="1:26" x14ac:dyDescent="0.25">
      <c r="A45" s="1">
        <v>23113</v>
      </c>
      <c r="B45" s="1" t="s">
        <v>26</v>
      </c>
      <c r="C45" s="1" t="s">
        <v>33</v>
      </c>
      <c r="D45" s="12">
        <v>46034</v>
      </c>
      <c r="E45" s="12" t="str">
        <f>+TEXT(Tabla1[[#This Row],[fecha_revision]],"mmmm")</f>
        <v>Enero</v>
      </c>
      <c r="F45" s="3">
        <v>260109618224</v>
      </c>
      <c r="G45" s="1" t="str">
        <f t="shared" si="2"/>
        <v>'260109618224',</v>
      </c>
      <c r="H45" s="1" t="s">
        <v>28</v>
      </c>
      <c r="I45" s="1" t="s">
        <v>99</v>
      </c>
      <c r="J45" s="1" t="str">
        <f t="shared" si="3"/>
        <v>'inv_3mMsZHPf5ZLoMcJrGzzEcD',</v>
      </c>
      <c r="K45" s="1" t="s">
        <v>10</v>
      </c>
      <c r="L45" s="1">
        <v>20</v>
      </c>
      <c r="M45" s="1">
        <v>20</v>
      </c>
      <c r="N45" s="1">
        <f t="shared" si="6"/>
        <v>0</v>
      </c>
      <c r="O45" s="1" t="s">
        <v>30</v>
      </c>
      <c r="P45" s="4" t="s">
        <v>31</v>
      </c>
      <c r="Q45" s="13">
        <v>81603</v>
      </c>
      <c r="R45" s="12">
        <v>46032</v>
      </c>
      <c r="S45" s="4" t="s">
        <v>32</v>
      </c>
      <c r="T45" s="5"/>
      <c r="U45" s="1"/>
      <c r="V45" s="1"/>
      <c r="W45" s="1"/>
      <c r="X45" s="1"/>
      <c r="Y4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'260109618224','VOUCHER_Currency': 'PEN','VOUCHER_Amount': 20,'VOUCHER_Operacion_PSP': '81603','VOUCHER_FECHA':'46032'},</v>
      </c>
      <c r="Z4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'260109618224','VOUCHER_Currency': 'PEN','VOUCHER_Amount': 20,'VOUCHER_Operacion_PSP': '81603','VOUCHER_FECHA':'46032'},</v>
      </c>
    </row>
    <row r="46" spans="1:26" x14ac:dyDescent="0.25">
      <c r="A46" s="1">
        <v>23151</v>
      </c>
      <c r="B46" s="1" t="s">
        <v>26</v>
      </c>
      <c r="C46" s="1" t="s">
        <v>84</v>
      </c>
      <c r="D46" s="12">
        <v>46034</v>
      </c>
      <c r="E46" s="12" t="str">
        <f>+TEXT(Tabla1[[#This Row],[fecha_revision]],"mmmm")</f>
        <v>Enero</v>
      </c>
      <c r="F46" s="3">
        <v>260109615866</v>
      </c>
      <c r="G46" s="1" t="str">
        <f t="shared" si="2"/>
        <v>'260109615866',</v>
      </c>
      <c r="H46" s="1" t="s">
        <v>28</v>
      </c>
      <c r="I46" s="1" t="s">
        <v>100</v>
      </c>
      <c r="J46" s="1" t="str">
        <f t="shared" si="3"/>
        <v>'inv_WebNye6bbjgZgcvdK42pYA',</v>
      </c>
      <c r="K46" s="1" t="s">
        <v>10</v>
      </c>
      <c r="L46" s="1">
        <v>35.4</v>
      </c>
      <c r="M46" s="1">
        <v>35.4</v>
      </c>
      <c r="N46" s="1">
        <f t="shared" si="6"/>
        <v>0</v>
      </c>
      <c r="O46" s="1" t="s">
        <v>30</v>
      </c>
      <c r="P46" s="4" t="s">
        <v>31</v>
      </c>
      <c r="Q46" s="13">
        <v>68964</v>
      </c>
      <c r="R46" s="12">
        <v>46032</v>
      </c>
      <c r="S46" s="4" t="s">
        <v>32</v>
      </c>
      <c r="T46" s="5"/>
      <c r="U46" s="1"/>
      <c r="V46" s="1"/>
      <c r="W46" s="1"/>
      <c r="X46" s="1"/>
      <c r="Y4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'260109615866','VOUCHER_Currency': 'PEN','VOUCHER_Amount': 35.4,'VOUCHER_Operacion_PSP': '68964','VOUCHER_FECHA':'46032'},</v>
      </c>
      <c r="Z4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'260109615866','VOUCHER_Currency': 'PEN','VOUCHER_Amount': 35.4,'VOUCHER_Operacion_PSP': '68964','VOUCHER_FECHA':'46032'},</v>
      </c>
    </row>
    <row r="47" spans="1:26" x14ac:dyDescent="0.25">
      <c r="A47" s="1">
        <v>23169</v>
      </c>
      <c r="B47" s="1" t="s">
        <v>26</v>
      </c>
      <c r="C47" s="1" t="s">
        <v>60</v>
      </c>
      <c r="D47" s="12">
        <v>46035</v>
      </c>
      <c r="E47" s="12" t="str">
        <f>+TEXT(Tabla1[[#This Row],[fecha_revision]],"mmmm")</f>
        <v>Enero</v>
      </c>
      <c r="F47" s="3" t="s">
        <v>101</v>
      </c>
      <c r="G47" s="1" t="str">
        <f t="shared" si="2"/>
        <v>'260028818278',</v>
      </c>
      <c r="H47" s="1" t="s">
        <v>28</v>
      </c>
      <c r="I47" s="1" t="s">
        <v>102</v>
      </c>
      <c r="J47" s="1" t="str">
        <f t="shared" si="3"/>
        <v>'inv_nzHm5pGKBE4gFmEAGFe9WZ',</v>
      </c>
      <c r="K47" s="1" t="s">
        <v>10</v>
      </c>
      <c r="L47" s="1">
        <v>61.5</v>
      </c>
      <c r="M47" s="1">
        <v>61.5</v>
      </c>
      <c r="N47" s="1">
        <f t="shared" si="6"/>
        <v>0</v>
      </c>
      <c r="O47" s="1" t="s">
        <v>30</v>
      </c>
      <c r="P47" s="4" t="s">
        <v>31</v>
      </c>
      <c r="Q47" s="13" t="s">
        <v>103</v>
      </c>
      <c r="R47" s="12">
        <v>46023</v>
      </c>
      <c r="S47" s="4" t="s">
        <v>32</v>
      </c>
      <c r="T47" s="5"/>
      <c r="U47" s="1"/>
      <c r="V47" s="1"/>
      <c r="W47" s="1"/>
      <c r="X47" s="1"/>
      <c r="Y4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'260028818278','VOUCHER_Currency': 'PEN','VOUCHER_Amount': 61.5,'VOUCHER_Operacion_PSP': '00857501','VOUCHER_FECHA':'46023'},</v>
      </c>
      <c r="Z4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'260028818278','VOUCHER_Currency': 'PEN','VOUCHER_Amount': 61.5,'VOUCHER_Operacion_PSP': '00857501','VOUCHER_FECHA':'46023'},</v>
      </c>
    </row>
    <row r="48" spans="1:26" x14ac:dyDescent="0.25">
      <c r="A48" s="1">
        <v>23169</v>
      </c>
      <c r="B48" s="1" t="s">
        <v>26</v>
      </c>
      <c r="C48" s="1" t="s">
        <v>27</v>
      </c>
      <c r="D48" s="12">
        <v>46035</v>
      </c>
      <c r="E48" s="12" t="str">
        <f>+TEXT(Tabla1[[#This Row],[fecha_revision]],"mmmm")</f>
        <v>Enero</v>
      </c>
      <c r="F48" s="3" t="s">
        <v>104</v>
      </c>
      <c r="G48" s="1" t="str">
        <f t="shared" si="2"/>
        <v>'260109616841',</v>
      </c>
      <c r="H48" s="1" t="s">
        <v>28</v>
      </c>
      <c r="I48" s="1" t="s">
        <v>105</v>
      </c>
      <c r="J48" s="1" t="str">
        <f t="shared" si="3"/>
        <v>'inv_FWmuDno63ip5ttGd6aneZo',</v>
      </c>
      <c r="K48" s="1" t="s">
        <v>10</v>
      </c>
      <c r="L48" s="1">
        <v>30</v>
      </c>
      <c r="M48" s="1">
        <v>30</v>
      </c>
      <c r="N48" s="1">
        <f t="shared" si="6"/>
        <v>0</v>
      </c>
      <c r="O48" s="1" t="s">
        <v>30</v>
      </c>
      <c r="P48" s="4" t="s">
        <v>31</v>
      </c>
      <c r="Q48" s="13" t="s">
        <v>106</v>
      </c>
      <c r="R48" s="12">
        <v>46032</v>
      </c>
      <c r="S48" s="4" t="s">
        <v>32</v>
      </c>
      <c r="T48" s="5"/>
      <c r="U48" s="1"/>
      <c r="V48" s="1"/>
      <c r="W48" s="1"/>
      <c r="X48" s="1"/>
      <c r="Y4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'260109616841','VOUCHER_Currency': 'PEN','VOUCHER_Amount': 30,'VOUCHER_Operacion_PSP': '00075357','VOUCHER_FECHA':'46032'},</v>
      </c>
      <c r="Z4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'260109616841','VOUCHER_Currency': 'PEN','VOUCHER_Amount': 30,'VOUCHER_Operacion_PSP': '00075357','VOUCHER_FECHA':'46032'},</v>
      </c>
    </row>
    <row r="49" spans="1:26" x14ac:dyDescent="0.25">
      <c r="A49" s="1">
        <v>23169</v>
      </c>
      <c r="B49" s="1" t="s">
        <v>26</v>
      </c>
      <c r="C49" s="1" t="s">
        <v>62</v>
      </c>
      <c r="D49" s="12">
        <v>46035</v>
      </c>
      <c r="E49" s="12" t="str">
        <f>+TEXT(Tabla1[[#This Row],[fecha_revision]],"mmmm")</f>
        <v>Enero</v>
      </c>
      <c r="F49" s="3" t="s">
        <v>107</v>
      </c>
      <c r="G49" s="1" t="str">
        <f t="shared" si="2"/>
        <v>'260109616944',</v>
      </c>
      <c r="H49" s="1" t="s">
        <v>28</v>
      </c>
      <c r="I49" s="1" t="s">
        <v>108</v>
      </c>
      <c r="J49" s="1" t="str">
        <f t="shared" si="3"/>
        <v>'inv_dDzMZyskCdnCKBX7dGiFyD',</v>
      </c>
      <c r="K49" s="1" t="s">
        <v>10</v>
      </c>
      <c r="L49" s="1">
        <v>3.4</v>
      </c>
      <c r="M49" s="1">
        <v>3.4</v>
      </c>
      <c r="N49" s="1">
        <f t="shared" si="6"/>
        <v>0</v>
      </c>
      <c r="O49" s="1" t="s">
        <v>30</v>
      </c>
      <c r="P49" s="4" t="s">
        <v>31</v>
      </c>
      <c r="Q49" s="13" t="s">
        <v>109</v>
      </c>
      <c r="R49" s="12">
        <v>46032</v>
      </c>
      <c r="S49" s="4" t="s">
        <v>32</v>
      </c>
      <c r="T49" s="5"/>
      <c r="U49" s="1"/>
      <c r="V49" s="1"/>
      <c r="W49" s="1"/>
      <c r="X49" s="1"/>
      <c r="Y4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'260109616944','VOUCHER_Currency': 'PEN','VOUCHER_Amount': 3.4,'VOUCHER_Operacion_PSP': '00075204','VOUCHER_FECHA':'46032'},</v>
      </c>
      <c r="Z4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'260109616944','VOUCHER_Currency': 'PEN','VOUCHER_Amount': 3.4,'VOUCHER_Operacion_PSP': '00075204','VOUCHER_FECHA':'46032'},</v>
      </c>
    </row>
    <row r="50" spans="1:26" x14ac:dyDescent="0.25">
      <c r="A50" s="1">
        <v>23169</v>
      </c>
      <c r="B50" s="1" t="s">
        <v>26</v>
      </c>
      <c r="C50" s="1" t="s">
        <v>33</v>
      </c>
      <c r="D50" s="12">
        <v>46035</v>
      </c>
      <c r="E50" s="12" t="str">
        <f>+TEXT(Tabla1[[#This Row],[fecha_revision]],"mmmm")</f>
        <v>Enero</v>
      </c>
      <c r="F50" s="3" t="s">
        <v>110</v>
      </c>
      <c r="G50" s="1" t="str">
        <f t="shared" si="2"/>
        <v>'260109616987',</v>
      </c>
      <c r="H50" s="1" t="s">
        <v>28</v>
      </c>
      <c r="I50" s="1" t="s">
        <v>111</v>
      </c>
      <c r="J50" s="1" t="str">
        <f t="shared" si="3"/>
        <v>'inv_kj8U3x3V8wW6JPveTaL27K',</v>
      </c>
      <c r="K50" s="1" t="s">
        <v>10</v>
      </c>
      <c r="L50" s="1">
        <v>20</v>
      </c>
      <c r="M50" s="1">
        <v>20</v>
      </c>
      <c r="N50" s="1">
        <f t="shared" si="6"/>
        <v>0</v>
      </c>
      <c r="O50" s="1" t="s">
        <v>30</v>
      </c>
      <c r="P50" s="4" t="s">
        <v>31</v>
      </c>
      <c r="Q50" s="13" t="s">
        <v>112</v>
      </c>
      <c r="R50" s="12">
        <v>46032</v>
      </c>
      <c r="S50" s="4" t="s">
        <v>32</v>
      </c>
      <c r="T50" s="5"/>
      <c r="U50" s="1"/>
      <c r="V50" s="1"/>
      <c r="W50" s="1"/>
      <c r="X50" s="1"/>
      <c r="Y5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'260109616987','VOUCHER_Currency': 'PEN','VOUCHER_Amount': 20,'VOUCHER_Operacion_PSP': '00078032','VOUCHER_FECHA':'46032'},</v>
      </c>
      <c r="Z5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'260109616987','VOUCHER_Currency': 'PEN','VOUCHER_Amount': 20,'VOUCHER_Operacion_PSP': '00078032','VOUCHER_FECHA':'46032'},</v>
      </c>
    </row>
    <row r="51" spans="1:26" x14ac:dyDescent="0.25">
      <c r="A51" s="1">
        <v>23169</v>
      </c>
      <c r="B51" s="1" t="s">
        <v>26</v>
      </c>
      <c r="C51" s="1" t="s">
        <v>62</v>
      </c>
      <c r="D51" s="12">
        <v>46035</v>
      </c>
      <c r="E51" s="12" t="str">
        <f>+TEXT(Tabla1[[#This Row],[fecha_revision]],"mmmm")</f>
        <v>Enero</v>
      </c>
      <c r="F51" s="3" t="s">
        <v>113</v>
      </c>
      <c r="G51" s="1" t="str">
        <f t="shared" si="2"/>
        <v>'260109617102',</v>
      </c>
      <c r="H51" s="1" t="s">
        <v>28</v>
      </c>
      <c r="I51" s="1" t="s">
        <v>114</v>
      </c>
      <c r="J51" s="1" t="str">
        <f t="shared" si="3"/>
        <v>'inv_Enu6xabCE8ojvWuvtZZz5X',</v>
      </c>
      <c r="K51" s="1" t="s">
        <v>10</v>
      </c>
      <c r="L51" s="1">
        <v>10</v>
      </c>
      <c r="M51" s="1">
        <v>10</v>
      </c>
      <c r="N51" s="1">
        <f t="shared" si="6"/>
        <v>0</v>
      </c>
      <c r="O51" s="1" t="s">
        <v>30</v>
      </c>
      <c r="P51" s="4" t="s">
        <v>31</v>
      </c>
      <c r="Q51" s="13" t="s">
        <v>115</v>
      </c>
      <c r="R51" s="12">
        <v>46032</v>
      </c>
      <c r="S51" s="4" t="s">
        <v>32</v>
      </c>
      <c r="T51" s="5"/>
      <c r="U51" s="1"/>
      <c r="V51" s="1"/>
      <c r="W51" s="1"/>
      <c r="X51" s="1"/>
      <c r="Y5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'260109617102','VOUCHER_Currency': 'PEN','VOUCHER_Amount': 10,'VOUCHER_Operacion_PSP': '01201326','VOUCHER_FECHA':'46032'},</v>
      </c>
      <c r="Z5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'260109617102','VOUCHER_Currency': 'PEN','VOUCHER_Amount': 10,'VOUCHER_Operacion_PSP': '01201326','VOUCHER_FECHA':'46032'},</v>
      </c>
    </row>
    <row r="52" spans="1:26" x14ac:dyDescent="0.25">
      <c r="A52" s="1">
        <v>23169</v>
      </c>
      <c r="B52" s="1" t="s">
        <v>26</v>
      </c>
      <c r="C52" s="1" t="s">
        <v>27</v>
      </c>
      <c r="D52" s="12">
        <v>46035</v>
      </c>
      <c r="E52" s="12" t="str">
        <f>+TEXT(Tabla1[[#This Row],[fecha_revision]],"mmmm")</f>
        <v>Enero</v>
      </c>
      <c r="F52" s="3" t="s">
        <v>116</v>
      </c>
      <c r="G52" s="1" t="str">
        <f t="shared" si="2"/>
        <v>'260109617173',</v>
      </c>
      <c r="H52" s="1" t="s">
        <v>28</v>
      </c>
      <c r="I52" s="1" t="s">
        <v>117</v>
      </c>
      <c r="J52" s="1" t="str">
        <f t="shared" si="3"/>
        <v>'inv_7XPbN2mUhGsWuP5ztVsEWR',</v>
      </c>
      <c r="K52" s="1" t="s">
        <v>10</v>
      </c>
      <c r="L52" s="1">
        <v>50</v>
      </c>
      <c r="M52" s="1">
        <v>50</v>
      </c>
      <c r="N52" s="1">
        <f t="shared" si="6"/>
        <v>0</v>
      </c>
      <c r="O52" s="1" t="s">
        <v>30</v>
      </c>
      <c r="P52" s="4" t="s">
        <v>31</v>
      </c>
      <c r="Q52" s="13" t="s">
        <v>118</v>
      </c>
      <c r="R52" s="12">
        <v>46032</v>
      </c>
      <c r="S52" s="4" t="s">
        <v>32</v>
      </c>
      <c r="T52" s="5"/>
      <c r="U52" s="1"/>
      <c r="V52" s="1"/>
      <c r="W52" s="1"/>
      <c r="X52" s="1"/>
      <c r="Y5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'260109617173','VOUCHER_Currency': 'PEN','VOUCHER_Amount': 50,'VOUCHER_Operacion_PSP': '01101954','VOUCHER_FECHA':'46032'},</v>
      </c>
      <c r="Z5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'260109617173','VOUCHER_Currency': 'PEN','VOUCHER_Amount': 50,'VOUCHER_Operacion_PSP': '01101954','VOUCHER_FECHA':'46032'},</v>
      </c>
    </row>
    <row r="53" spans="1:26" x14ac:dyDescent="0.25">
      <c r="A53" s="1">
        <v>23169</v>
      </c>
      <c r="B53" s="1" t="s">
        <v>26</v>
      </c>
      <c r="C53" s="1" t="s">
        <v>119</v>
      </c>
      <c r="D53" s="12">
        <v>46035</v>
      </c>
      <c r="E53" s="12" t="str">
        <f>+TEXT(Tabla1[[#This Row],[fecha_revision]],"mmmm")</f>
        <v>Enero</v>
      </c>
      <c r="F53" s="3" t="s">
        <v>120</v>
      </c>
      <c r="G53" s="1" t="str">
        <f t="shared" si="2"/>
        <v>'260109617556',</v>
      </c>
      <c r="H53" s="1" t="s">
        <v>28</v>
      </c>
      <c r="I53" s="1" t="s">
        <v>121</v>
      </c>
      <c r="J53" s="1" t="str">
        <f t="shared" si="3"/>
        <v>'inv_3xtgnuuFvPz5Di5Uq83Cc3',</v>
      </c>
      <c r="K53" s="1" t="s">
        <v>10</v>
      </c>
      <c r="L53" s="1">
        <v>20</v>
      </c>
      <c r="M53" s="1">
        <v>20</v>
      </c>
      <c r="N53" s="1">
        <f t="shared" si="6"/>
        <v>0</v>
      </c>
      <c r="O53" s="1" t="s">
        <v>30</v>
      </c>
      <c r="P53" s="4" t="s">
        <v>31</v>
      </c>
      <c r="Q53" s="13" t="s">
        <v>122</v>
      </c>
      <c r="R53" s="12">
        <v>46032</v>
      </c>
      <c r="S53" s="4" t="s">
        <v>32</v>
      </c>
      <c r="T53" s="5"/>
      <c r="U53" s="1"/>
      <c r="V53" s="1"/>
      <c r="W53" s="1"/>
      <c r="X53" s="1"/>
      <c r="Y5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'260109617556','VOUCHER_Currency': 'PEN','VOUCHER_Amount': 20,'VOUCHER_Operacion_PSP': '03101240','VOUCHER_FECHA':'46032'},</v>
      </c>
      <c r="Z5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'260109617556','VOUCHER_Currency': 'PEN','VOUCHER_Amount': 20,'VOUCHER_Operacion_PSP': '03101240','VOUCHER_FECHA':'46032'},</v>
      </c>
    </row>
    <row r="54" spans="1:26" x14ac:dyDescent="0.25">
      <c r="A54" s="1">
        <v>23169</v>
      </c>
      <c r="B54" s="1" t="s">
        <v>26</v>
      </c>
      <c r="C54" s="1" t="s">
        <v>33</v>
      </c>
      <c r="D54" s="12">
        <v>46035</v>
      </c>
      <c r="E54" s="12" t="str">
        <f>+TEXT(Tabla1[[#This Row],[fecha_revision]],"mmmm")</f>
        <v>Enero</v>
      </c>
      <c r="F54" s="3" t="s">
        <v>123</v>
      </c>
      <c r="G54" s="1" t="str">
        <f t="shared" si="2"/>
        <v>'260109617747',</v>
      </c>
      <c r="H54" s="1" t="s">
        <v>28</v>
      </c>
      <c r="I54" s="1" t="s">
        <v>124</v>
      </c>
      <c r="J54" s="1" t="str">
        <f t="shared" si="3"/>
        <v>'inv_EWJY5UFGHZmVn8dqDm5gux',</v>
      </c>
      <c r="K54" s="1" t="s">
        <v>10</v>
      </c>
      <c r="L54" s="1">
        <v>100</v>
      </c>
      <c r="M54" s="1">
        <v>100</v>
      </c>
      <c r="N54" s="1">
        <f t="shared" si="6"/>
        <v>0</v>
      </c>
      <c r="O54" s="1" t="s">
        <v>30</v>
      </c>
      <c r="P54" s="4" t="s">
        <v>31</v>
      </c>
      <c r="Q54" s="13" t="s">
        <v>125</v>
      </c>
      <c r="R54" s="12">
        <v>46032</v>
      </c>
      <c r="S54" s="4" t="s">
        <v>32</v>
      </c>
      <c r="T54" s="5"/>
      <c r="U54" s="1"/>
      <c r="V54" s="1"/>
      <c r="W54" s="1"/>
      <c r="X54" s="1"/>
      <c r="Y5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'260109617747','VOUCHER_Currency': 'PEN','VOUCHER_Amount': 100,'VOUCHER_Operacion_PSP': '01900638','VOUCHER_FECHA':'46032'},</v>
      </c>
      <c r="Z5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'260109617747','VOUCHER_Currency': 'PEN','VOUCHER_Amount': 100,'VOUCHER_Operacion_PSP': '01900638','VOUCHER_FECHA':'46032'},</v>
      </c>
    </row>
    <row r="55" spans="1:26" x14ac:dyDescent="0.25">
      <c r="A55" s="1">
        <v>23169</v>
      </c>
      <c r="B55" s="1" t="s">
        <v>26</v>
      </c>
      <c r="C55" s="1" t="s">
        <v>33</v>
      </c>
      <c r="D55" s="12">
        <v>46035</v>
      </c>
      <c r="E55" s="12" t="str">
        <f>+TEXT(Tabla1[[#This Row],[fecha_revision]],"mmmm")</f>
        <v>Enero</v>
      </c>
      <c r="F55" s="3" t="s">
        <v>126</v>
      </c>
      <c r="G55" s="1" t="str">
        <f t="shared" si="2"/>
        <v>'260109617857',</v>
      </c>
      <c r="H55" s="1" t="s">
        <v>28</v>
      </c>
      <c r="I55" s="1" t="s">
        <v>127</v>
      </c>
      <c r="J55" s="1" t="str">
        <f t="shared" si="3"/>
        <v>'inv_HWwc2ixdPiQw4yVcZ3uVke',</v>
      </c>
      <c r="K55" s="1" t="s">
        <v>10</v>
      </c>
      <c r="L55" s="1">
        <v>50</v>
      </c>
      <c r="M55" s="1">
        <v>50</v>
      </c>
      <c r="N55" s="1">
        <f t="shared" si="6"/>
        <v>0</v>
      </c>
      <c r="O55" s="1" t="s">
        <v>30</v>
      </c>
      <c r="P55" s="4" t="s">
        <v>31</v>
      </c>
      <c r="Q55" s="13" t="s">
        <v>128</v>
      </c>
      <c r="R55" s="12">
        <v>46032</v>
      </c>
      <c r="S55" s="4" t="s">
        <v>32</v>
      </c>
      <c r="T55" s="5"/>
      <c r="U55" s="1"/>
      <c r="V55" s="1"/>
      <c r="W55" s="1"/>
      <c r="X55" s="1"/>
      <c r="Y5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'260109617857','VOUCHER_Currency': 'PEN','VOUCHER_Amount': 50,'VOUCHER_Operacion_PSP': '00072690','VOUCHER_FECHA':'46032'},</v>
      </c>
      <c r="Z5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'260109617857','VOUCHER_Currency': 'PEN','VOUCHER_Amount': 50,'VOUCHER_Operacion_PSP': '00072690','VOUCHER_FECHA':'46032'},</v>
      </c>
    </row>
    <row r="56" spans="1:26" x14ac:dyDescent="0.25">
      <c r="A56" s="1">
        <v>23169</v>
      </c>
      <c r="B56" s="1" t="s">
        <v>26</v>
      </c>
      <c r="C56" s="1" t="s">
        <v>33</v>
      </c>
      <c r="D56" s="12">
        <v>46035</v>
      </c>
      <c r="E56" s="12" t="str">
        <f>+TEXT(Tabla1[[#This Row],[fecha_revision]],"mmmm")</f>
        <v>Enero</v>
      </c>
      <c r="F56" s="3" t="s">
        <v>129</v>
      </c>
      <c r="G56" s="1" t="str">
        <f t="shared" si="2"/>
        <v>'260109617889',</v>
      </c>
      <c r="H56" s="1" t="s">
        <v>28</v>
      </c>
      <c r="I56" s="1" t="s">
        <v>130</v>
      </c>
      <c r="J56" s="1" t="str">
        <f t="shared" si="3"/>
        <v>'inv_EaZhRnkVUsTNKxeKVxT4AW',</v>
      </c>
      <c r="K56" s="1" t="s">
        <v>10</v>
      </c>
      <c r="L56" s="1">
        <v>120</v>
      </c>
      <c r="M56" s="1">
        <v>120</v>
      </c>
      <c r="N56" s="1">
        <f t="shared" si="6"/>
        <v>0</v>
      </c>
      <c r="O56" s="1" t="s">
        <v>30</v>
      </c>
      <c r="P56" s="4" t="s">
        <v>31</v>
      </c>
      <c r="Q56" s="13" t="s">
        <v>131</v>
      </c>
      <c r="R56" s="12">
        <v>46032</v>
      </c>
      <c r="S56" s="4" t="s">
        <v>32</v>
      </c>
      <c r="T56" s="5"/>
      <c r="U56" s="1"/>
      <c r="V56" s="1"/>
      <c r="W56" s="1"/>
      <c r="X56" s="1"/>
      <c r="Y5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'260109617889','VOUCHER_Currency': 'PEN','VOUCHER_Amount': 120,'VOUCHER_Operacion_PSP': '00081512','VOUCHER_FECHA':'46032'},</v>
      </c>
      <c r="Z5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'260109617889','VOUCHER_Currency': 'PEN','VOUCHER_Amount': 120,'VOUCHER_Operacion_PSP': '00081512','VOUCHER_FECHA':'46032'},</v>
      </c>
    </row>
    <row r="57" spans="1:26" x14ac:dyDescent="0.25">
      <c r="A57" s="1">
        <v>23169</v>
      </c>
      <c r="B57" s="1" t="s">
        <v>26</v>
      </c>
      <c r="C57" s="1" t="s">
        <v>33</v>
      </c>
      <c r="D57" s="12">
        <v>46035</v>
      </c>
      <c r="E57" s="12" t="str">
        <f>+TEXT(Tabla1[[#This Row],[fecha_revision]],"mmmm")</f>
        <v>Enero</v>
      </c>
      <c r="F57" s="3" t="s">
        <v>132</v>
      </c>
      <c r="G57" s="1" t="str">
        <f t="shared" si="2"/>
        <v>'260109617913',</v>
      </c>
      <c r="H57" s="1" t="s">
        <v>28</v>
      </c>
      <c r="I57" s="1" t="s">
        <v>133</v>
      </c>
      <c r="J57" s="1" t="str">
        <f t="shared" si="3"/>
        <v>'inv_EqjGHXoszaNMfQTyTkDqSG',</v>
      </c>
      <c r="K57" s="1" t="s">
        <v>10</v>
      </c>
      <c r="L57" s="1">
        <v>20</v>
      </c>
      <c r="M57" s="1">
        <v>20</v>
      </c>
      <c r="N57" s="1">
        <f t="shared" si="6"/>
        <v>0</v>
      </c>
      <c r="O57" s="1" t="s">
        <v>30</v>
      </c>
      <c r="P57" s="4" t="s">
        <v>31</v>
      </c>
      <c r="Q57" s="13" t="s">
        <v>134</v>
      </c>
      <c r="R57" s="12">
        <v>46032</v>
      </c>
      <c r="S57" s="4" t="s">
        <v>32</v>
      </c>
      <c r="T57" s="5"/>
      <c r="U57" s="1"/>
      <c r="V57" s="1"/>
      <c r="W57" s="1"/>
      <c r="X57" s="1"/>
      <c r="Y5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'260109617913','VOUCHER_Currency': 'PEN','VOUCHER_Amount': 20,'VOUCHER_Operacion_PSP': '00601376','VOUCHER_FECHA':'46032'},</v>
      </c>
      <c r="Z5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'260109617913','VOUCHER_Currency': 'PEN','VOUCHER_Amount': 20,'VOUCHER_Operacion_PSP': '00601376','VOUCHER_FECHA':'46032'},</v>
      </c>
    </row>
    <row r="58" spans="1:26" x14ac:dyDescent="0.25">
      <c r="A58" s="1">
        <v>23169</v>
      </c>
      <c r="B58" s="1" t="s">
        <v>26</v>
      </c>
      <c r="C58" s="1" t="s">
        <v>33</v>
      </c>
      <c r="D58" s="12">
        <v>46035</v>
      </c>
      <c r="E58" s="12" t="str">
        <f>+TEXT(Tabla1[[#This Row],[fecha_revision]],"mmmm")</f>
        <v>Enero</v>
      </c>
      <c r="F58" s="3" t="s">
        <v>135</v>
      </c>
      <c r="G58" s="1" t="str">
        <f t="shared" si="2"/>
        <v>'260109618078',</v>
      </c>
      <c r="H58" s="1" t="s">
        <v>28</v>
      </c>
      <c r="I58" s="1" t="s">
        <v>136</v>
      </c>
      <c r="J58" s="1" t="str">
        <f t="shared" si="3"/>
        <v>'inv_PWxuuZ2KUnAexM6ocdqQWq',</v>
      </c>
      <c r="K58" s="1" t="s">
        <v>10</v>
      </c>
      <c r="L58" s="1">
        <v>100</v>
      </c>
      <c r="M58" s="1">
        <v>100</v>
      </c>
      <c r="N58" s="1">
        <f t="shared" si="6"/>
        <v>0</v>
      </c>
      <c r="O58" s="1" t="s">
        <v>30</v>
      </c>
      <c r="P58" s="4" t="s">
        <v>31</v>
      </c>
      <c r="Q58" s="13" t="s">
        <v>137</v>
      </c>
      <c r="R58" s="12">
        <v>46032</v>
      </c>
      <c r="S58" s="4" t="s">
        <v>32</v>
      </c>
      <c r="T58" s="5"/>
      <c r="U58" s="1"/>
      <c r="V58" s="1"/>
      <c r="W58" s="1"/>
      <c r="X58" s="1"/>
      <c r="Y5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'260109618078','VOUCHER_Currency': 'PEN','VOUCHER_Amount': 100,'VOUCHER_Operacion_PSP': '00075715','VOUCHER_FECHA':'46032'},</v>
      </c>
      <c r="Z5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'260109618078','VOUCHER_Currency': 'PEN','VOUCHER_Amount': 100,'VOUCHER_Operacion_PSP': '00075715','VOUCHER_FECHA':'46032'},</v>
      </c>
    </row>
    <row r="59" spans="1:26" x14ac:dyDescent="0.25">
      <c r="A59" s="1">
        <v>23169</v>
      </c>
      <c r="B59" s="1" t="s">
        <v>26</v>
      </c>
      <c r="C59" s="1" t="s">
        <v>64</v>
      </c>
      <c r="D59" s="12">
        <v>46035</v>
      </c>
      <c r="E59" s="12" t="str">
        <f>+TEXT(Tabla1[[#This Row],[fecha_revision]],"mmmm")</f>
        <v>Enero</v>
      </c>
      <c r="F59" s="3" t="s">
        <v>138</v>
      </c>
      <c r="G59" s="1" t="str">
        <f t="shared" si="2"/>
        <v>'260109618129',</v>
      </c>
      <c r="H59" s="1" t="s">
        <v>28</v>
      </c>
      <c r="I59" s="1" t="s">
        <v>139</v>
      </c>
      <c r="J59" s="1" t="str">
        <f t="shared" si="3"/>
        <v>'inv_WZX2N47xKanY3tw62ygfBx',</v>
      </c>
      <c r="K59" s="1" t="s">
        <v>10</v>
      </c>
      <c r="L59" s="1">
        <v>287.04000000000002</v>
      </c>
      <c r="M59" s="1">
        <v>287.04000000000002</v>
      </c>
      <c r="N59" s="1">
        <f t="shared" si="6"/>
        <v>0</v>
      </c>
      <c r="O59" s="1" t="s">
        <v>30</v>
      </c>
      <c r="P59" s="4" t="s">
        <v>31</v>
      </c>
      <c r="Q59" s="13" t="s">
        <v>140</v>
      </c>
      <c r="R59" s="12">
        <v>46032</v>
      </c>
      <c r="S59" s="4" t="s">
        <v>32</v>
      </c>
      <c r="T59" s="5"/>
      <c r="U59" s="1"/>
      <c r="V59" s="1"/>
      <c r="W59" s="1"/>
      <c r="X59" s="1"/>
      <c r="Y5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'260109618129','VOUCHER_Currency': 'PEN','VOUCHER_Amount': 287.04,'VOUCHER_Operacion_PSP': '02100667','VOUCHER_FECHA':'46032'},</v>
      </c>
      <c r="Z5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'260109618129','VOUCHER_Currency': 'PEN','VOUCHER_Amount': 287.04,'VOUCHER_Operacion_PSP': '02100667','VOUCHER_FECHA':'46032'},</v>
      </c>
    </row>
    <row r="60" spans="1:26" x14ac:dyDescent="0.25">
      <c r="A60" s="1">
        <v>23169</v>
      </c>
      <c r="B60" s="1" t="s">
        <v>26</v>
      </c>
      <c r="C60" s="1" t="s">
        <v>62</v>
      </c>
      <c r="D60" s="12">
        <v>46035</v>
      </c>
      <c r="E60" s="12" t="str">
        <f>+TEXT(Tabla1[[#This Row],[fecha_revision]],"mmmm")</f>
        <v>Enero</v>
      </c>
      <c r="F60" s="3" t="s">
        <v>141</v>
      </c>
      <c r="G60" s="1" t="str">
        <f t="shared" si="2"/>
        <v>'260109618185',</v>
      </c>
      <c r="H60" s="1" t="s">
        <v>28</v>
      </c>
      <c r="I60" s="1" t="s">
        <v>142</v>
      </c>
      <c r="J60" s="1" t="str">
        <f t="shared" si="3"/>
        <v>'inv_mkpKUwoJTRTgmeDUE3ALps',</v>
      </c>
      <c r="K60" s="1" t="s">
        <v>10</v>
      </c>
      <c r="L60" s="1">
        <v>3.4</v>
      </c>
      <c r="M60" s="1">
        <v>3.4</v>
      </c>
      <c r="N60" s="1">
        <f t="shared" si="6"/>
        <v>0</v>
      </c>
      <c r="O60" s="1" t="s">
        <v>30</v>
      </c>
      <c r="P60" s="4" t="s">
        <v>31</v>
      </c>
      <c r="Q60" s="13" t="s">
        <v>143</v>
      </c>
      <c r="R60" s="12">
        <v>46032</v>
      </c>
      <c r="S60" s="4" t="s">
        <v>32</v>
      </c>
      <c r="T60" s="5"/>
      <c r="U60" s="1"/>
      <c r="V60" s="1"/>
      <c r="W60" s="1"/>
      <c r="X60" s="1"/>
      <c r="Y6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'260109618185','VOUCHER_Currency': 'PEN','VOUCHER_Amount': 3.4,'VOUCHER_Operacion_PSP': '01801202','VOUCHER_FECHA':'46032'},</v>
      </c>
      <c r="Z6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'260109618185','VOUCHER_Currency': 'PEN','VOUCHER_Amount': 3.4,'VOUCHER_Operacion_PSP': '01801202','VOUCHER_FECHA':'46032'},</v>
      </c>
    </row>
    <row r="61" spans="1:26" x14ac:dyDescent="0.25">
      <c r="A61" s="1">
        <v>23197</v>
      </c>
      <c r="B61" s="1" t="s">
        <v>26</v>
      </c>
      <c r="C61" s="1" t="s">
        <v>33</v>
      </c>
      <c r="D61" s="12">
        <v>46035</v>
      </c>
      <c r="E61" s="12" t="str">
        <f>+TEXT(Tabla1[[#This Row],[fecha_revision]],"mmmm")</f>
        <v>Enero</v>
      </c>
      <c r="F61" s="3">
        <v>260133351819</v>
      </c>
      <c r="G61" s="1" t="str">
        <f t="shared" si="2"/>
        <v>'260133351819',</v>
      </c>
      <c r="H61" s="1" t="s">
        <v>28</v>
      </c>
      <c r="I61" s="1" t="s">
        <v>144</v>
      </c>
      <c r="J61" s="1" t="str">
        <f t="shared" si="3"/>
        <v>'inv_hUPdTS4ZhmmpDh2yRyyGbW',</v>
      </c>
      <c r="K61" s="1" t="s">
        <v>10</v>
      </c>
      <c r="L61" s="1">
        <v>20</v>
      </c>
      <c r="M61" s="1">
        <v>20</v>
      </c>
      <c r="N61" s="1">
        <f t="shared" si="6"/>
        <v>0</v>
      </c>
      <c r="O61" s="1" t="s">
        <v>30</v>
      </c>
      <c r="P61" s="4" t="s">
        <v>31</v>
      </c>
      <c r="Q61" s="13">
        <v>71335</v>
      </c>
      <c r="R61" s="12">
        <v>46035</v>
      </c>
      <c r="S61" s="4" t="s">
        <v>32</v>
      </c>
      <c r="T61" s="5"/>
      <c r="U61" s="1"/>
      <c r="V61" s="1"/>
      <c r="W61" s="1"/>
      <c r="X61" s="1"/>
      <c r="Y6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'260133351819','VOUCHER_Currency': 'PEN','VOUCHER_Amount': 20,'VOUCHER_Operacion_PSP': '71335','VOUCHER_FECHA':'46035'},</v>
      </c>
      <c r="Z6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'260133351819','VOUCHER_Currency': 'PEN','VOUCHER_Amount': 20,'VOUCHER_Operacion_PSP': '71335','VOUCHER_FECHA':'46035'},</v>
      </c>
    </row>
    <row r="62" spans="1:26" x14ac:dyDescent="0.25">
      <c r="A62" s="1" t="s">
        <v>39</v>
      </c>
      <c r="B62" s="1" t="s">
        <v>40</v>
      </c>
      <c r="C62" s="1" t="s">
        <v>119</v>
      </c>
      <c r="D62" s="12">
        <v>46036</v>
      </c>
      <c r="E62" s="12" t="str">
        <f>+TEXT(Tabla1[[#This Row],[fecha_revision]],"mmmm")</f>
        <v>Enero</v>
      </c>
      <c r="F62" s="3">
        <v>260144550664</v>
      </c>
      <c r="G62" s="1" t="str">
        <f t="shared" si="2"/>
        <v>'260144550664',</v>
      </c>
      <c r="H62" s="1" t="s">
        <v>34</v>
      </c>
      <c r="I62" s="1" t="s">
        <v>145</v>
      </c>
      <c r="J62" s="1" t="str">
        <f t="shared" si="3"/>
        <v>'inv_V4XaFVA7NHDBd4CdbAZXcN',</v>
      </c>
      <c r="K62" s="1" t="s">
        <v>10</v>
      </c>
      <c r="L62" s="1">
        <v>30</v>
      </c>
      <c r="M62" s="1">
        <v>30</v>
      </c>
      <c r="N62" s="1">
        <f t="shared" si="6"/>
        <v>0</v>
      </c>
      <c r="O62" s="1" t="s">
        <v>30</v>
      </c>
      <c r="P62" s="4" t="s">
        <v>31</v>
      </c>
      <c r="Q62" s="13" t="s">
        <v>146</v>
      </c>
      <c r="R62" s="12">
        <v>46036</v>
      </c>
      <c r="S62" s="4" t="s">
        <v>32</v>
      </c>
      <c r="T62" s="5"/>
      <c r="U62" s="1"/>
      <c r="V62" s="1"/>
      <c r="W62" s="1"/>
      <c r="X62" s="1"/>
      <c r="Y6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'260144550664','VOUCHER_Currency': 'PEN','VOUCHER_Amount': 30,'VOUCHER_Operacion_PSP': '386258','VOUCHER_FECHA':'46036'},</v>
      </c>
      <c r="Z6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'260144550664','VOUCHER_Currency': 'PEN','VOUCHER_Amount': 30,'VOUCHER_Operacion_PSP': '386258','VOUCHER_FECHA':'46036'},</v>
      </c>
    </row>
    <row r="63" spans="1:26" x14ac:dyDescent="0.25">
      <c r="A63" s="1">
        <v>23283</v>
      </c>
      <c r="B63" s="1" t="s">
        <v>26</v>
      </c>
      <c r="C63" s="1" t="s">
        <v>33</v>
      </c>
      <c r="D63" s="12">
        <v>46038</v>
      </c>
      <c r="E63" s="12" t="str">
        <f>+TEXT(Tabla1[[#This Row],[fecha_revision]],"mmmm")</f>
        <v>Enero</v>
      </c>
      <c r="F63" s="3">
        <v>260167112823</v>
      </c>
      <c r="G63" s="1" t="str">
        <f t="shared" si="2"/>
        <v>'260167112823',</v>
      </c>
      <c r="H63" s="1" t="s">
        <v>34</v>
      </c>
      <c r="I63" s="1" t="s">
        <v>147</v>
      </c>
      <c r="J63" s="1" t="str">
        <f t="shared" si="3"/>
        <v>'inv_mhivPcCfuaMmgKoHSsDqYu',</v>
      </c>
      <c r="K63" s="1" t="s">
        <v>10</v>
      </c>
      <c r="L63" s="1">
        <v>65</v>
      </c>
      <c r="M63" s="1">
        <v>65</v>
      </c>
      <c r="N63" s="1">
        <f t="shared" si="6"/>
        <v>0</v>
      </c>
      <c r="O63" s="1" t="s">
        <v>30</v>
      </c>
      <c r="P63" s="4" t="s">
        <v>31</v>
      </c>
      <c r="Q63" s="13" t="s">
        <v>148</v>
      </c>
      <c r="R63" s="12">
        <v>46038</v>
      </c>
      <c r="S63" s="4" t="s">
        <v>32</v>
      </c>
      <c r="T63" s="5"/>
      <c r="U63" s="1"/>
      <c r="V63" s="1"/>
      <c r="W63" s="1"/>
      <c r="X63" s="1"/>
      <c r="Y6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'260167112823','VOUCHER_Currency': 'PEN','VOUCHER_Amount': 65,'VOUCHER_Operacion_PSP': '669448','VOUCHER_FECHA':'46038'},</v>
      </c>
      <c r="Z6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'260167112823','VOUCHER_Currency': 'PEN','VOUCHER_Amount': 65,'VOUCHER_Operacion_PSP': '669448','VOUCHER_FECHA':'46038'},</v>
      </c>
    </row>
    <row r="64" spans="1:26" x14ac:dyDescent="0.25">
      <c r="A64" s="1">
        <v>23290</v>
      </c>
      <c r="B64" s="1" t="s">
        <v>26</v>
      </c>
      <c r="C64" s="1" t="s">
        <v>149</v>
      </c>
      <c r="D64" s="12">
        <v>46038</v>
      </c>
      <c r="E64" s="12" t="str">
        <f>+TEXT(Tabla1[[#This Row],[fecha_revision]],"mmmm")</f>
        <v>Enero</v>
      </c>
      <c r="F64" s="3">
        <v>260156359793</v>
      </c>
      <c r="G64" s="1" t="str">
        <f t="shared" si="2"/>
        <v>'260156359793',</v>
      </c>
      <c r="H64" s="1" t="s">
        <v>28</v>
      </c>
      <c r="I64" s="1" t="s">
        <v>150</v>
      </c>
      <c r="J64" s="1" t="str">
        <f t="shared" si="3"/>
        <v>'inv_QiHFGqMYgpw2MkBxRrVuCk',</v>
      </c>
      <c r="K64" s="1" t="s">
        <v>10</v>
      </c>
      <c r="L64" s="1">
        <v>15</v>
      </c>
      <c r="M64" s="1">
        <v>15</v>
      </c>
      <c r="N64" s="1">
        <f t="shared" si="6"/>
        <v>0</v>
      </c>
      <c r="O64" s="1" t="s">
        <v>30</v>
      </c>
      <c r="P64" s="4" t="s">
        <v>31</v>
      </c>
      <c r="Q64" s="13" t="s">
        <v>151</v>
      </c>
      <c r="R64" s="12">
        <v>46037</v>
      </c>
      <c r="S64" s="4" t="s">
        <v>32</v>
      </c>
      <c r="T64" s="5"/>
      <c r="U64" s="1"/>
      <c r="V64" s="1"/>
      <c r="W64" s="1"/>
      <c r="X64" s="1"/>
      <c r="Y6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'260156359793','VOUCHER_Currency': 'PEN','VOUCHER_Amount': 15,'VOUCHER_Operacion_PSP': '832041','VOUCHER_FECHA':'46037'},</v>
      </c>
      <c r="Z6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'260156359793','VOUCHER_Currency': 'PEN','VOUCHER_Amount': 15,'VOUCHER_Operacion_PSP': '832041','VOUCHER_FECHA':'46037'},</v>
      </c>
    </row>
    <row r="65" spans="1:26" x14ac:dyDescent="0.25">
      <c r="A65" s="1">
        <v>23304</v>
      </c>
      <c r="B65" s="1" t="s">
        <v>26</v>
      </c>
      <c r="C65" s="1" t="s">
        <v>62</v>
      </c>
      <c r="D65" s="12">
        <v>46038</v>
      </c>
      <c r="E65" s="12" t="str">
        <f>+TEXT(Tabla1[[#This Row],[fecha_revision]],"mmmm")</f>
        <v>Enero</v>
      </c>
      <c r="F65" s="3">
        <v>260167585115</v>
      </c>
      <c r="G65" s="1" t="str">
        <f t="shared" si="2"/>
        <v>'260167585115',</v>
      </c>
      <c r="H65" s="1" t="s">
        <v>34</v>
      </c>
      <c r="I65" s="1" t="s">
        <v>152</v>
      </c>
      <c r="J65" s="1" t="str">
        <f t="shared" si="3"/>
        <v>'inv_8E8yZiDoSo7T9paWKjoDnz',</v>
      </c>
      <c r="K65" s="1" t="s">
        <v>10</v>
      </c>
      <c r="L65" s="1">
        <v>3.4</v>
      </c>
      <c r="M65" s="1">
        <v>3.4</v>
      </c>
      <c r="N65" s="1">
        <f t="shared" si="6"/>
        <v>0</v>
      </c>
      <c r="O65" s="1" t="s">
        <v>30</v>
      </c>
      <c r="P65" s="4" t="s">
        <v>31</v>
      </c>
      <c r="Q65" s="13">
        <v>37785</v>
      </c>
      <c r="R65" s="12">
        <v>46038</v>
      </c>
      <c r="S65" s="4" t="s">
        <v>32</v>
      </c>
      <c r="T65" s="5">
        <v>0.66666666666666663</v>
      </c>
      <c r="U65" s="1"/>
      <c r="V65" s="1"/>
      <c r="W65" s="1"/>
      <c r="X65" s="1"/>
      <c r="Y6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'260167585115','VOUCHER_Currency': 'PEN','VOUCHER_Amount': 3.4,'VOUCHER_Operacion_PSP': '37785','VOUCHER_FECHA':'46038'},</v>
      </c>
      <c r="Z6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'260167585115','VOUCHER_Currency': 'PEN','VOUCHER_Amount': 3.4,'VOUCHER_Operacion_PSP': '37785','VOUCHER_FECHA':'46038'},</v>
      </c>
    </row>
    <row r="66" spans="1:26" x14ac:dyDescent="0.25">
      <c r="A66" s="1">
        <v>23304</v>
      </c>
      <c r="B66" s="1" t="s">
        <v>26</v>
      </c>
      <c r="C66" s="1" t="s">
        <v>50</v>
      </c>
      <c r="D66" s="12">
        <v>46038</v>
      </c>
      <c r="E66" s="12" t="str">
        <f>+TEXT(Tabla1[[#This Row],[fecha_revision]],"mmmm")</f>
        <v>Enero</v>
      </c>
      <c r="F66" s="3">
        <v>253519854612</v>
      </c>
      <c r="G66" s="1" t="str">
        <f t="shared" ref="G66:G128" si="7">CONCATENATE("'",F66,"',")</f>
        <v>'253519854612',</v>
      </c>
      <c r="H66" s="1" t="s">
        <v>42</v>
      </c>
      <c r="I66" s="1" t="s">
        <v>153</v>
      </c>
      <c r="J66" s="1" t="str">
        <f t="shared" ref="J66:J128" si="8">CONCATENATE("'",I66,"',")</f>
        <v>'inv_QTo4GWP8Ahany6vy6oQAu7',</v>
      </c>
      <c r="K66" s="1" t="s">
        <v>10</v>
      </c>
      <c r="L66" s="1">
        <v>75</v>
      </c>
      <c r="M66" s="1">
        <v>75</v>
      </c>
      <c r="N66" s="1">
        <f t="shared" ref="N66:N128" si="9">+L66-M66</f>
        <v>0</v>
      </c>
      <c r="O66" s="1" t="s">
        <v>30</v>
      </c>
      <c r="P66" s="4" t="s">
        <v>31</v>
      </c>
      <c r="Q66" s="13">
        <v>269554</v>
      </c>
      <c r="R66" s="31" t="s">
        <v>154</v>
      </c>
      <c r="S66" s="4" t="s">
        <v>32</v>
      </c>
      <c r="T66" s="5"/>
      <c r="U66" s="1"/>
      <c r="V66" s="1"/>
      <c r="W66" s="1"/>
      <c r="X66" s="1"/>
      <c r="Y6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'253519854612','VOUCHER_Currency': 'PEN','VOUCHER_Amount': 75,'VOUCHER_Operacion_PSP': '269554','VOUCHER_FECHA':'15/01/2026'},</v>
      </c>
      <c r="Z6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'253519854612','VOUCHER_Currency': 'PEN','VOUCHER_Amount': 75,'VOUCHER_Operacion_PSP': '269554','VOUCHER_FECHA':'15/01/2026'},</v>
      </c>
    </row>
    <row r="67" spans="1:26" x14ac:dyDescent="0.25">
      <c r="A67" s="1">
        <v>23304</v>
      </c>
      <c r="B67" s="1" t="s">
        <v>26</v>
      </c>
      <c r="C67" s="1" t="s">
        <v>50</v>
      </c>
      <c r="D67" s="12">
        <v>46038</v>
      </c>
      <c r="E67" s="12" t="str">
        <f>+TEXT(Tabla1[[#This Row],[fecha_revision]],"mmmm")</f>
        <v>Enero</v>
      </c>
      <c r="F67" s="3">
        <v>253497927579</v>
      </c>
      <c r="G67" s="1" t="str">
        <f t="shared" si="7"/>
        <v>'253497927579',</v>
      </c>
      <c r="H67" s="1" t="s">
        <v>42</v>
      </c>
      <c r="I67" s="1" t="s">
        <v>155</v>
      </c>
      <c r="J67" s="1" t="str">
        <f t="shared" si="8"/>
        <v>'inv_fWT9zQvRNQbWN63ZiBfsot',</v>
      </c>
      <c r="K67" s="1" t="s">
        <v>10</v>
      </c>
      <c r="L67" s="1">
        <v>64</v>
      </c>
      <c r="M67" s="1">
        <v>64</v>
      </c>
      <c r="N67" s="1">
        <f t="shared" si="9"/>
        <v>0</v>
      </c>
      <c r="O67" s="1" t="s">
        <v>30</v>
      </c>
      <c r="P67" s="4" t="s">
        <v>31</v>
      </c>
      <c r="Q67" s="13">
        <v>99204</v>
      </c>
      <c r="R67" s="31" t="s">
        <v>156</v>
      </c>
      <c r="S67" s="4" t="s">
        <v>32</v>
      </c>
      <c r="T67" s="5"/>
      <c r="U67" s="1"/>
      <c r="V67" s="1"/>
      <c r="W67" s="1"/>
      <c r="X67" s="1"/>
      <c r="Y6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'253497927579','VOUCHER_Currency': 'PEN','VOUCHER_Amount': 64,'VOUCHER_Operacion_PSP': '99204','VOUCHER_FECHA':'14/01/2026'},</v>
      </c>
      <c r="Z6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'253497927579','VOUCHER_Currency': 'PEN','VOUCHER_Amount': 64,'VOUCHER_Operacion_PSP': '99204','VOUCHER_FECHA':'14/01/2026'},</v>
      </c>
    </row>
    <row r="68" spans="1:26" x14ac:dyDescent="0.25">
      <c r="A68" s="1">
        <v>23304</v>
      </c>
      <c r="B68" s="1" t="s">
        <v>26</v>
      </c>
      <c r="C68" s="1" t="s">
        <v>33</v>
      </c>
      <c r="D68" s="12">
        <v>46038</v>
      </c>
      <c r="E68" s="12" t="str">
        <f>+TEXT(Tabla1[[#This Row],[fecha_revision]],"mmmm")</f>
        <v>Enero</v>
      </c>
      <c r="F68" s="3">
        <v>260133356094</v>
      </c>
      <c r="G68" s="1" t="str">
        <f t="shared" si="7"/>
        <v>'260133356094',</v>
      </c>
      <c r="H68" s="1" t="s">
        <v>157</v>
      </c>
      <c r="I68" s="1" t="s">
        <v>158</v>
      </c>
      <c r="J68" s="1" t="str">
        <f t="shared" si="8"/>
        <v>'inv_Stxh3iELVpYUpJbPTTe4Fg',</v>
      </c>
      <c r="K68" s="1" t="s">
        <v>10</v>
      </c>
      <c r="L68" s="1">
        <v>50</v>
      </c>
      <c r="M68" s="1">
        <v>50</v>
      </c>
      <c r="N68" s="1">
        <f t="shared" si="9"/>
        <v>0</v>
      </c>
      <c r="O68" s="1" t="s">
        <v>30</v>
      </c>
      <c r="P68" s="4" t="s">
        <v>31</v>
      </c>
      <c r="Q68" s="13">
        <v>3201835</v>
      </c>
      <c r="R68" s="31" t="s">
        <v>159</v>
      </c>
      <c r="S68" s="4" t="s">
        <v>32</v>
      </c>
      <c r="T68" s="5"/>
      <c r="U68" s="1"/>
      <c r="V68" s="1"/>
      <c r="W68" s="1"/>
      <c r="X68" s="1"/>
      <c r="Y6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'260133356094','VOUCHER_Currency': 'PEN','VOUCHER_Amount': 50,'VOUCHER_Operacion_PSP': '3201835','VOUCHER_FECHA':'13/01/2026'},</v>
      </c>
      <c r="Z6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'260133356094','VOUCHER_Currency': 'PEN','VOUCHER_Amount': 50,'VOUCHER_Operacion_PSP': '3201835','VOUCHER_FECHA':'13/01/2026'},</v>
      </c>
    </row>
    <row r="69" spans="1:26" x14ac:dyDescent="0.25">
      <c r="A69" s="1">
        <v>23304</v>
      </c>
      <c r="B69" s="1" t="s">
        <v>26</v>
      </c>
      <c r="C69" s="1" t="s">
        <v>62</v>
      </c>
      <c r="D69" s="12">
        <v>46038</v>
      </c>
      <c r="E69" s="12" t="str">
        <f>+TEXT(Tabla1[[#This Row],[fecha_revision]],"mmmm")</f>
        <v>Enero</v>
      </c>
      <c r="F69" s="3">
        <v>260133355357</v>
      </c>
      <c r="G69" s="1" t="str">
        <f t="shared" si="7"/>
        <v>'260133355357',</v>
      </c>
      <c r="H69" s="1" t="s">
        <v>157</v>
      </c>
      <c r="I69" s="1" t="s">
        <v>160</v>
      </c>
      <c r="J69" s="1" t="str">
        <f t="shared" si="8"/>
        <v>'inv_kanTsb5WJ8vyaaKwYuxZMr',</v>
      </c>
      <c r="K69" s="1" t="s">
        <v>10</v>
      </c>
      <c r="L69" s="1">
        <v>3.4</v>
      </c>
      <c r="M69" s="1">
        <v>3.4</v>
      </c>
      <c r="N69" s="1">
        <f t="shared" si="9"/>
        <v>0</v>
      </c>
      <c r="O69" s="1" t="s">
        <v>30</v>
      </c>
      <c r="P69" s="4" t="s">
        <v>31</v>
      </c>
      <c r="Q69" s="13">
        <v>300992</v>
      </c>
      <c r="R69" s="31" t="s">
        <v>159</v>
      </c>
      <c r="S69" s="4" t="s">
        <v>32</v>
      </c>
      <c r="T69" s="5"/>
      <c r="U69" s="1"/>
      <c r="V69" s="1"/>
      <c r="W69" s="1"/>
      <c r="X69" s="1"/>
      <c r="Y6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'260133355357','VOUCHER_Currency': 'PEN','VOUCHER_Amount': 3.4,'VOUCHER_Operacion_PSP': '300992','VOUCHER_FECHA':'13/01/2026'},</v>
      </c>
      <c r="Z6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'260133355357','VOUCHER_Currency': 'PEN','VOUCHER_Amount': 3.4,'VOUCHER_Operacion_PSP': '300992','VOUCHER_FECHA':'13/01/2026'},</v>
      </c>
    </row>
    <row r="70" spans="1:26" x14ac:dyDescent="0.25">
      <c r="A70" s="1">
        <v>23304</v>
      </c>
      <c r="B70" s="1" t="s">
        <v>26</v>
      </c>
      <c r="C70" s="1" t="s">
        <v>50</v>
      </c>
      <c r="D70" s="12">
        <v>46038</v>
      </c>
      <c r="E70" s="12" t="str">
        <f>+TEXT(Tabla1[[#This Row],[fecha_revision]],"mmmm")</f>
        <v>Enero</v>
      </c>
      <c r="F70" s="3">
        <v>253522593922</v>
      </c>
      <c r="G70" s="1" t="str">
        <f t="shared" si="7"/>
        <v>'253522593922',</v>
      </c>
      <c r="H70" s="1" t="s">
        <v>42</v>
      </c>
      <c r="I70" s="1" t="s">
        <v>161</v>
      </c>
      <c r="J70" s="1" t="str">
        <f t="shared" si="8"/>
        <v>'inv_jGNVCJnjDg28Bw4qHKZbTs',</v>
      </c>
      <c r="K70" s="1" t="s">
        <v>10</v>
      </c>
      <c r="L70" s="1">
        <v>105</v>
      </c>
      <c r="M70" s="1">
        <v>105</v>
      </c>
      <c r="N70" s="1">
        <f t="shared" si="9"/>
        <v>0</v>
      </c>
      <c r="O70" s="1" t="s">
        <v>30</v>
      </c>
      <c r="P70" s="4" t="s">
        <v>31</v>
      </c>
      <c r="Q70" s="13">
        <v>1954262</v>
      </c>
      <c r="R70" s="31">
        <v>46024</v>
      </c>
      <c r="S70" s="4" t="s">
        <v>32</v>
      </c>
      <c r="T70" s="5"/>
      <c r="U70" s="1"/>
      <c r="V70" s="1"/>
      <c r="W70" s="1"/>
      <c r="X70" s="1"/>
      <c r="Y7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'253522593922','VOUCHER_Currency': 'PEN','VOUCHER_Amount': 105,'VOUCHER_Operacion_PSP': '1954262','VOUCHER_FECHA':'46024'},</v>
      </c>
      <c r="Z7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'253522593922','VOUCHER_Currency': 'PEN','VOUCHER_Amount': 105,'VOUCHER_Operacion_PSP': '1954262','VOUCHER_FECHA':'46024'},</v>
      </c>
    </row>
    <row r="71" spans="1:26" x14ac:dyDescent="0.25">
      <c r="A71" s="1">
        <v>23309</v>
      </c>
      <c r="B71" s="1" t="s">
        <v>26</v>
      </c>
      <c r="C71" s="1" t="s">
        <v>94</v>
      </c>
      <c r="D71" s="12">
        <v>46038</v>
      </c>
      <c r="E71" s="12" t="str">
        <f>+TEXT(Tabla1[[#This Row],[fecha_revision]],"mmmm")</f>
        <v>Enero</v>
      </c>
      <c r="F71" s="3">
        <v>260178160894</v>
      </c>
      <c r="G71" s="1" t="str">
        <f t="shared" si="7"/>
        <v>'260178160894',</v>
      </c>
      <c r="H71" s="1" t="s">
        <v>34</v>
      </c>
      <c r="I71" s="1" t="s">
        <v>162</v>
      </c>
      <c r="J71" s="1" t="str">
        <f t="shared" si="8"/>
        <v>'inv_g2WVXKhvgrrbmbHsMCcv4D',</v>
      </c>
      <c r="K71" s="1" t="s">
        <v>10</v>
      </c>
      <c r="L71" s="1">
        <v>100</v>
      </c>
      <c r="M71" s="1">
        <v>100</v>
      </c>
      <c r="N71" s="1">
        <f t="shared" ref="N71" si="10">+L71-M71</f>
        <v>0</v>
      </c>
      <c r="O71" s="1" t="s">
        <v>30</v>
      </c>
      <c r="P71" s="4" t="s">
        <v>163</v>
      </c>
      <c r="Q71" s="13">
        <v>4001506</v>
      </c>
      <c r="R71" s="12">
        <v>46038</v>
      </c>
      <c r="S71" s="4" t="s">
        <v>32</v>
      </c>
      <c r="T71" s="5"/>
      <c r="U71" s="1"/>
      <c r="V71" s="1"/>
      <c r="W71" s="1"/>
      <c r="X71" s="1"/>
      <c r="Y7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'260178160894','VOUCHER_Currency': 'PEN','VOUCHER_Amount': 100,'VOUCHER_Operacion_PSP': '4001506','VOUCHER_FECHA':'46038'},</v>
      </c>
      <c r="Z7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'260178160894','VOUCHER_Currency': 'PEN','VOUCHER_Amount': 100,'VOUCHER_Operacion_PSP': '4001506','VOUCHER_FECHA':'46038'},</v>
      </c>
    </row>
    <row r="72" spans="1:26" x14ac:dyDescent="0.25">
      <c r="A72" s="1">
        <v>23314</v>
      </c>
      <c r="B72" s="1" t="s">
        <v>26</v>
      </c>
      <c r="C72" s="1" t="s">
        <v>27</v>
      </c>
      <c r="D72" s="12">
        <v>46038</v>
      </c>
      <c r="E72" s="12" t="str">
        <f>+TEXT(Tabla1[[#This Row],[fecha_revision]],"mmmm")</f>
        <v>Enero</v>
      </c>
      <c r="F72" s="3">
        <v>260178168266</v>
      </c>
      <c r="G72" s="1" t="str">
        <f t="shared" si="7"/>
        <v>'260178168266',</v>
      </c>
      <c r="H72" s="1" t="s">
        <v>34</v>
      </c>
      <c r="I72" s="1" t="s">
        <v>164</v>
      </c>
      <c r="J72" s="1" t="str">
        <f t="shared" si="8"/>
        <v>'inv_f6GnxwMNCq4nVDNuaDk5oS',</v>
      </c>
      <c r="K72" s="1" t="s">
        <v>10</v>
      </c>
      <c r="L72" s="1">
        <v>50</v>
      </c>
      <c r="M72" s="1">
        <v>50</v>
      </c>
      <c r="N72" s="1">
        <f t="shared" si="9"/>
        <v>0</v>
      </c>
      <c r="O72" s="1" t="s">
        <v>30</v>
      </c>
      <c r="P72" s="4" t="s">
        <v>163</v>
      </c>
      <c r="Q72" s="13">
        <v>3801000</v>
      </c>
      <c r="R72" s="12">
        <v>46038</v>
      </c>
      <c r="S72" s="4" t="s">
        <v>32</v>
      </c>
      <c r="T72" s="5"/>
      <c r="U72" s="1"/>
      <c r="V72" s="1"/>
      <c r="W72" s="1"/>
      <c r="X72" s="1"/>
      <c r="Y7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'260178168266','VOUCHER_Currency': 'PEN','VOUCHER_Amount': 50,'VOUCHER_Operacion_PSP': '3801000','VOUCHER_FECHA':'46038'},</v>
      </c>
      <c r="Z7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'260178168266','VOUCHER_Currency': 'PEN','VOUCHER_Amount': 50,'VOUCHER_Operacion_PSP': '3801000','VOUCHER_FECHA':'46038'},</v>
      </c>
    </row>
    <row r="73" spans="1:26" x14ac:dyDescent="0.25">
      <c r="A73" s="1" t="s">
        <v>39</v>
      </c>
      <c r="B73" s="1" t="s">
        <v>40</v>
      </c>
      <c r="C73" s="1" t="s">
        <v>33</v>
      </c>
      <c r="D73" s="12">
        <v>46038</v>
      </c>
      <c r="E73" s="12" t="str">
        <f>+TEXT(Tabla1[[#This Row],[fecha_revision]],"mmmm")</f>
        <v>Enero</v>
      </c>
      <c r="F73" s="3" t="s">
        <v>165</v>
      </c>
      <c r="G73" s="1" t="str">
        <f t="shared" si="7"/>
        <v>'260178250153',</v>
      </c>
      <c r="H73" s="1" t="s">
        <v>54</v>
      </c>
      <c r="I73" s="1" t="s">
        <v>166</v>
      </c>
      <c r="J73" s="1" t="str">
        <f t="shared" si="8"/>
        <v>'inv_3SmEJah4ALWrC8bjJnjZqm',</v>
      </c>
      <c r="K73" s="1" t="s">
        <v>10</v>
      </c>
      <c r="L73" s="1">
        <v>20</v>
      </c>
      <c r="M73" s="1">
        <v>20</v>
      </c>
      <c r="N73" s="1">
        <f t="shared" si="9"/>
        <v>0</v>
      </c>
      <c r="O73" s="1" t="s">
        <v>30</v>
      </c>
      <c r="P73" s="4" t="s">
        <v>163</v>
      </c>
      <c r="Q73" s="13">
        <v>4001684</v>
      </c>
      <c r="R73" s="12">
        <v>46038</v>
      </c>
      <c r="S73" s="4" t="s">
        <v>32</v>
      </c>
      <c r="T73" s="5"/>
      <c r="U73" s="1"/>
      <c r="V73" s="1"/>
      <c r="W73" s="1"/>
      <c r="X73" s="1"/>
      <c r="Y7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'260178250153','VOUCHER_Currency': 'PEN','VOUCHER_Amount': 20,'VOUCHER_Operacion_PSP': '4001684','VOUCHER_FECHA':'46038'},</v>
      </c>
      <c r="Z7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'260178250153','VOUCHER_Currency': 'PEN','VOUCHER_Amount': 20,'VOUCHER_Operacion_PSP': '4001684','VOUCHER_FECHA':'46038'},</v>
      </c>
    </row>
    <row r="74" spans="1:26" x14ac:dyDescent="0.25">
      <c r="A74" s="1" t="s">
        <v>39</v>
      </c>
      <c r="B74" s="1" t="s">
        <v>40</v>
      </c>
      <c r="C74" s="1" t="s">
        <v>33</v>
      </c>
      <c r="D74" s="12">
        <v>46038</v>
      </c>
      <c r="E74" s="12" t="str">
        <f>+TEXT(Tabla1[[#This Row],[fecha_revision]],"mmmm")</f>
        <v>Enero</v>
      </c>
      <c r="F74" s="3" t="s">
        <v>167</v>
      </c>
      <c r="G74" s="1" t="str">
        <f t="shared" si="7"/>
        <v>'260178247987',</v>
      </c>
      <c r="H74" s="1" t="s">
        <v>54</v>
      </c>
      <c r="I74" s="1" t="s">
        <v>168</v>
      </c>
      <c r="J74" s="1" t="str">
        <f t="shared" si="8"/>
        <v>'inv_hui5JGEsTS5NcSZuCy4LEW',</v>
      </c>
      <c r="K74" s="1" t="s">
        <v>10</v>
      </c>
      <c r="L74" s="1">
        <v>20</v>
      </c>
      <c r="M74" s="1">
        <v>20</v>
      </c>
      <c r="N74" s="1">
        <f t="shared" si="9"/>
        <v>0</v>
      </c>
      <c r="O74" s="1" t="s">
        <v>30</v>
      </c>
      <c r="P74" s="4" t="s">
        <v>163</v>
      </c>
      <c r="Q74" s="13">
        <v>4001678</v>
      </c>
      <c r="R74" s="12">
        <v>46038</v>
      </c>
      <c r="S74" s="4" t="s">
        <v>32</v>
      </c>
      <c r="T74" s="5"/>
      <c r="U74" s="1"/>
      <c r="V74" s="1"/>
      <c r="W74" s="1"/>
      <c r="X74" s="1"/>
      <c r="Y7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'260178247987','VOUCHER_Currency': 'PEN','VOUCHER_Amount': 20,'VOUCHER_Operacion_PSP': '4001678','VOUCHER_FECHA':'46038'},</v>
      </c>
      <c r="Z7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'260178247987','VOUCHER_Currency': 'PEN','VOUCHER_Amount': 20,'VOUCHER_Operacion_PSP': '4001678','VOUCHER_FECHA':'46038'},</v>
      </c>
    </row>
    <row r="75" spans="1:26" x14ac:dyDescent="0.25">
      <c r="A75" s="1" t="s">
        <v>39</v>
      </c>
      <c r="B75" s="1" t="s">
        <v>40</v>
      </c>
      <c r="C75" s="1" t="s">
        <v>33</v>
      </c>
      <c r="D75" s="12">
        <v>46038</v>
      </c>
      <c r="E75" s="12" t="str">
        <f>+TEXT(Tabla1[[#This Row],[fecha_revision]],"mmmm")</f>
        <v>Enero</v>
      </c>
      <c r="F75" s="3" t="s">
        <v>169</v>
      </c>
      <c r="G75" s="1" t="str">
        <f t="shared" si="7"/>
        <v>'260178242129',</v>
      </c>
      <c r="H75" s="1" t="s">
        <v>54</v>
      </c>
      <c r="I75" s="1" t="s">
        <v>170</v>
      </c>
      <c r="J75" s="1" t="str">
        <f t="shared" si="8"/>
        <v>'inv_BhC8g84xnE2ubuCM6A5ztR',</v>
      </c>
      <c r="K75" s="1" t="s">
        <v>10</v>
      </c>
      <c r="L75" s="1">
        <v>20</v>
      </c>
      <c r="M75" s="1">
        <v>20</v>
      </c>
      <c r="N75" s="1">
        <f t="shared" si="9"/>
        <v>0</v>
      </c>
      <c r="O75" s="1" t="s">
        <v>30</v>
      </c>
      <c r="P75" s="4" t="s">
        <v>163</v>
      </c>
      <c r="Q75" s="13">
        <v>4001654</v>
      </c>
      <c r="R75" s="12">
        <v>46038</v>
      </c>
      <c r="S75" s="4" t="s">
        <v>32</v>
      </c>
      <c r="T75" s="5"/>
      <c r="U75" s="1"/>
      <c r="V75" s="1"/>
      <c r="W75" s="1"/>
      <c r="X75" s="1"/>
      <c r="Y7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'260178242129','VOUCHER_Currency': 'PEN','VOUCHER_Amount': 20,'VOUCHER_Operacion_PSP': '4001654','VOUCHER_FECHA':'46038'},</v>
      </c>
      <c r="Z7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'260178242129','VOUCHER_Currency': 'PEN','VOUCHER_Amount': 20,'VOUCHER_Operacion_PSP': '4001654','VOUCHER_FECHA':'46038'},</v>
      </c>
    </row>
    <row r="76" spans="1:26" x14ac:dyDescent="0.25">
      <c r="A76" s="1" t="s">
        <v>39</v>
      </c>
      <c r="B76" s="1" t="s">
        <v>40</v>
      </c>
      <c r="C76" s="1" t="s">
        <v>27</v>
      </c>
      <c r="D76" s="12">
        <v>46038</v>
      </c>
      <c r="E76" s="12" t="str">
        <f>+TEXT(Tabla1[[#This Row],[fecha_revision]],"mmmm")</f>
        <v>Enero</v>
      </c>
      <c r="F76" s="3">
        <v>260178265553</v>
      </c>
      <c r="G76" s="1" t="str">
        <f t="shared" si="7"/>
        <v>'260178265553',</v>
      </c>
      <c r="H76" s="1" t="s">
        <v>54</v>
      </c>
      <c r="I76" s="1" t="s">
        <v>171</v>
      </c>
      <c r="J76" s="1" t="str">
        <f t="shared" si="8"/>
        <v>'inv_GJnynaZjh9Ztbz35Dpaj9D',</v>
      </c>
      <c r="K76" s="1" t="s">
        <v>10</v>
      </c>
      <c r="L76" s="1">
        <v>30</v>
      </c>
      <c r="M76" s="1">
        <v>30</v>
      </c>
      <c r="N76" s="1">
        <f t="shared" si="9"/>
        <v>0</v>
      </c>
      <c r="O76" s="1" t="s">
        <v>30</v>
      </c>
      <c r="P76" s="4" t="s">
        <v>163</v>
      </c>
      <c r="Q76" s="13">
        <v>4001719</v>
      </c>
      <c r="R76" s="12">
        <v>46038</v>
      </c>
      <c r="S76" s="4" t="s">
        <v>32</v>
      </c>
      <c r="T76" s="5"/>
      <c r="U76" s="1"/>
      <c r="V76" s="1"/>
      <c r="W76" s="1"/>
      <c r="X76" s="1"/>
      <c r="Y7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'260178265553','VOUCHER_Currency': 'PEN','VOUCHER_Amount': 30,'VOUCHER_Operacion_PSP': '4001719','VOUCHER_FECHA':'46038'},</v>
      </c>
      <c r="Z7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'260178265553','VOUCHER_Currency': 'PEN','VOUCHER_Amount': 30,'VOUCHER_Operacion_PSP': '4001719','VOUCHER_FECHA':'46038'},</v>
      </c>
    </row>
    <row r="77" spans="1:26" x14ac:dyDescent="0.25">
      <c r="A77" s="1" t="s">
        <v>39</v>
      </c>
      <c r="B77" s="1" t="s">
        <v>40</v>
      </c>
      <c r="C77" s="1" t="s">
        <v>33</v>
      </c>
      <c r="D77" s="12">
        <v>46038</v>
      </c>
      <c r="E77" s="12" t="str">
        <f>+TEXT(Tabla1[[#This Row],[fecha_revision]],"mmmm")</f>
        <v>Enero</v>
      </c>
      <c r="F77" s="3" t="s">
        <v>172</v>
      </c>
      <c r="G77" s="1" t="str">
        <f t="shared" si="7"/>
        <v>'260178251236',</v>
      </c>
      <c r="H77" s="1" t="s">
        <v>54</v>
      </c>
      <c r="I77" s="1" t="s">
        <v>173</v>
      </c>
      <c r="J77" s="1" t="str">
        <f t="shared" si="8"/>
        <v>'inv_LTZujULFhHrjXhtTRJ3VW9',</v>
      </c>
      <c r="K77" s="1" t="s">
        <v>10</v>
      </c>
      <c r="L77" s="1">
        <v>50</v>
      </c>
      <c r="M77" s="1">
        <v>50</v>
      </c>
      <c r="N77" s="1">
        <f t="shared" si="9"/>
        <v>0</v>
      </c>
      <c r="O77" s="1" t="s">
        <v>30</v>
      </c>
      <c r="P77" s="4" t="s">
        <v>163</v>
      </c>
      <c r="Q77" s="13">
        <v>4001686</v>
      </c>
      <c r="R77" s="12">
        <v>46038</v>
      </c>
      <c r="S77" s="4" t="s">
        <v>32</v>
      </c>
      <c r="T77" s="5"/>
      <c r="U77" s="1"/>
      <c r="V77" s="1"/>
      <c r="W77" s="1"/>
      <c r="X77" s="1"/>
      <c r="Y7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'260178251236','VOUCHER_Currency': 'PEN','VOUCHER_Amount': 50,'VOUCHER_Operacion_PSP': '4001686','VOUCHER_FECHA':'46038'},</v>
      </c>
      <c r="Z7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'260178251236','VOUCHER_Currency': 'PEN','VOUCHER_Amount': 50,'VOUCHER_Operacion_PSP': '4001686','VOUCHER_FECHA':'46038'},</v>
      </c>
    </row>
    <row r="78" spans="1:26" x14ac:dyDescent="0.25">
      <c r="A78" s="1" t="s">
        <v>39</v>
      </c>
      <c r="B78" s="1" t="s">
        <v>40</v>
      </c>
      <c r="C78" s="1" t="s">
        <v>33</v>
      </c>
      <c r="D78" s="12">
        <v>46038</v>
      </c>
      <c r="E78" s="12" t="str">
        <f>+TEXT(Tabla1[[#This Row],[fecha_revision]],"mmmm")</f>
        <v>Enero</v>
      </c>
      <c r="F78" s="3" t="s">
        <v>174</v>
      </c>
      <c r="G78" s="1" t="str">
        <f t="shared" si="7"/>
        <v>'260178231457',</v>
      </c>
      <c r="H78" s="1" t="s">
        <v>54</v>
      </c>
      <c r="I78" s="1" t="s">
        <v>175</v>
      </c>
      <c r="J78" s="1" t="str">
        <f t="shared" si="8"/>
        <v>'inv_hNkRw48wYo5ZQMcYz9BUYt',</v>
      </c>
      <c r="K78" s="1" t="s">
        <v>10</v>
      </c>
      <c r="L78" s="1">
        <v>50</v>
      </c>
      <c r="M78" s="1">
        <v>50</v>
      </c>
      <c r="N78" s="1">
        <f t="shared" si="9"/>
        <v>0</v>
      </c>
      <c r="O78" s="1" t="s">
        <v>30</v>
      </c>
      <c r="P78" s="4" t="s">
        <v>163</v>
      </c>
      <c r="Q78" s="13">
        <v>4001628</v>
      </c>
      <c r="R78" s="12">
        <v>46038</v>
      </c>
      <c r="S78" s="4" t="s">
        <v>32</v>
      </c>
      <c r="T78" s="5"/>
      <c r="U78" s="1"/>
      <c r="V78" s="1"/>
      <c r="W78" s="1"/>
      <c r="X78" s="1"/>
      <c r="Y7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'260178231457','VOUCHER_Currency': 'PEN','VOUCHER_Amount': 50,'VOUCHER_Operacion_PSP': '4001628','VOUCHER_FECHA':'46038'},</v>
      </c>
      <c r="Z7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'260178231457','VOUCHER_Currency': 'PEN','VOUCHER_Amount': 50,'VOUCHER_Operacion_PSP': '4001628','VOUCHER_FECHA':'46038'},</v>
      </c>
    </row>
    <row r="79" spans="1:26" x14ac:dyDescent="0.25">
      <c r="A79" s="1" t="s">
        <v>39</v>
      </c>
      <c r="B79" s="1" t="s">
        <v>40</v>
      </c>
      <c r="C79" s="1" t="s">
        <v>33</v>
      </c>
      <c r="D79" s="12">
        <v>46038</v>
      </c>
      <c r="E79" s="12" t="str">
        <f>+TEXT(Tabla1[[#This Row],[fecha_revision]],"mmmm")</f>
        <v>Enero</v>
      </c>
      <c r="F79" s="3" t="s">
        <v>176</v>
      </c>
      <c r="G79" s="1" t="str">
        <f t="shared" si="7"/>
        <v>'260178222434',</v>
      </c>
      <c r="H79" s="1" t="s">
        <v>54</v>
      </c>
      <c r="I79" s="1" t="s">
        <v>177</v>
      </c>
      <c r="J79" s="1" t="str">
        <f t="shared" si="8"/>
        <v>'inv_k5EHwKt6q2UGeKJaQNRrBo',</v>
      </c>
      <c r="K79" s="1" t="s">
        <v>10</v>
      </c>
      <c r="L79" s="1">
        <v>50</v>
      </c>
      <c r="M79" s="1">
        <v>50</v>
      </c>
      <c r="N79" s="1">
        <f t="shared" si="9"/>
        <v>0</v>
      </c>
      <c r="O79" s="1" t="s">
        <v>30</v>
      </c>
      <c r="P79" s="4" t="s">
        <v>163</v>
      </c>
      <c r="Q79" s="13">
        <v>4001608</v>
      </c>
      <c r="R79" s="12">
        <v>46038</v>
      </c>
      <c r="S79" s="4" t="s">
        <v>32</v>
      </c>
      <c r="T79" s="5"/>
      <c r="U79" s="1"/>
      <c r="V79" s="1"/>
      <c r="W79" s="1"/>
      <c r="X79" s="1"/>
      <c r="Y7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'260178222434','VOUCHER_Currency': 'PEN','VOUCHER_Amount': 50,'VOUCHER_Operacion_PSP': '4001608','VOUCHER_FECHA':'46038'},</v>
      </c>
      <c r="Z7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'260178222434','VOUCHER_Currency': 'PEN','VOUCHER_Amount': 50,'VOUCHER_Operacion_PSP': '4001608','VOUCHER_FECHA':'46038'},</v>
      </c>
    </row>
    <row r="80" spans="1:26" x14ac:dyDescent="0.25">
      <c r="A80" s="1" t="s">
        <v>39</v>
      </c>
      <c r="B80" s="1" t="s">
        <v>40</v>
      </c>
      <c r="C80" s="1" t="s">
        <v>27</v>
      </c>
      <c r="D80" s="12">
        <v>46038</v>
      </c>
      <c r="E80" s="12" t="str">
        <f>+TEXT(Tabla1[[#This Row],[fecha_revision]],"mmmm")</f>
        <v>Enero</v>
      </c>
      <c r="F80" s="3" t="s">
        <v>178</v>
      </c>
      <c r="G80" s="1" t="str">
        <f t="shared" si="7"/>
        <v>'260178250146',</v>
      </c>
      <c r="H80" s="1" t="s">
        <v>54</v>
      </c>
      <c r="I80" s="1" t="s">
        <v>179</v>
      </c>
      <c r="J80" s="1" t="str">
        <f t="shared" si="8"/>
        <v>'inv_6oMebBbssAiTb6vU9vvX3u',</v>
      </c>
      <c r="K80" s="1" t="s">
        <v>10</v>
      </c>
      <c r="L80" s="1">
        <v>68</v>
      </c>
      <c r="M80" s="1">
        <v>68</v>
      </c>
      <c r="N80" s="1">
        <f t="shared" si="9"/>
        <v>0</v>
      </c>
      <c r="O80" s="1" t="s">
        <v>30</v>
      </c>
      <c r="P80" s="4" t="s">
        <v>163</v>
      </c>
      <c r="Q80" s="13">
        <v>4001680</v>
      </c>
      <c r="R80" s="12">
        <v>46038</v>
      </c>
      <c r="S80" s="4" t="s">
        <v>32</v>
      </c>
      <c r="T80" s="5"/>
      <c r="U80" s="1"/>
      <c r="V80" s="1"/>
      <c r="W80" s="1"/>
      <c r="X80" s="1"/>
      <c r="Y8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'260178250146','VOUCHER_Currency': 'PEN','VOUCHER_Amount': 68,'VOUCHER_Operacion_PSP': '4001680','VOUCHER_FECHA':'46038'},</v>
      </c>
      <c r="Z8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'260178250146','VOUCHER_Currency': 'PEN','VOUCHER_Amount': 68,'VOUCHER_Operacion_PSP': '4001680','VOUCHER_FECHA':'46038'},</v>
      </c>
    </row>
    <row r="81" spans="1:26" x14ac:dyDescent="0.25">
      <c r="A81" s="1" t="s">
        <v>39</v>
      </c>
      <c r="B81" s="1" t="s">
        <v>40</v>
      </c>
      <c r="C81" s="1" t="s">
        <v>27</v>
      </c>
      <c r="D81" s="12">
        <v>46038</v>
      </c>
      <c r="E81" s="12" t="str">
        <f>+TEXT(Tabla1[[#This Row],[fecha_revision]],"mmmm")</f>
        <v>Enero</v>
      </c>
      <c r="F81" s="3" t="s">
        <v>180</v>
      </c>
      <c r="G81" s="1" t="str">
        <f t="shared" si="7"/>
        <v>'260178260505',</v>
      </c>
      <c r="H81" s="1" t="s">
        <v>54</v>
      </c>
      <c r="I81" s="1" t="s">
        <v>181</v>
      </c>
      <c r="J81" s="1" t="str">
        <f t="shared" si="8"/>
        <v>'inv_AyJgftCxQzt7NjB33GZM45',</v>
      </c>
      <c r="K81" s="1" t="s">
        <v>10</v>
      </c>
      <c r="L81" s="1">
        <v>100</v>
      </c>
      <c r="M81" s="1">
        <v>100</v>
      </c>
      <c r="N81" s="1">
        <f t="shared" si="9"/>
        <v>0</v>
      </c>
      <c r="O81" s="1" t="s">
        <v>30</v>
      </c>
      <c r="P81" s="4" t="s">
        <v>163</v>
      </c>
      <c r="Q81" s="13">
        <v>4001704</v>
      </c>
      <c r="R81" s="12">
        <v>46038</v>
      </c>
      <c r="S81" s="4" t="s">
        <v>32</v>
      </c>
      <c r="T81" s="5"/>
      <c r="U81" s="1"/>
      <c r="V81" s="1"/>
      <c r="W81" s="1"/>
      <c r="X81" s="1"/>
      <c r="Y8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'260178260505','VOUCHER_Currency': 'PEN','VOUCHER_Amount': 100,'VOUCHER_Operacion_PSP': '4001704','VOUCHER_FECHA':'46038'},</v>
      </c>
      <c r="Z8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'260178260505','VOUCHER_Currency': 'PEN','VOUCHER_Amount': 100,'VOUCHER_Operacion_PSP': '4001704','VOUCHER_FECHA':'46038'},</v>
      </c>
    </row>
    <row r="82" spans="1:26" x14ac:dyDescent="0.25">
      <c r="A82" s="1" t="s">
        <v>39</v>
      </c>
      <c r="B82" s="1" t="s">
        <v>40</v>
      </c>
      <c r="C82" s="1" t="s">
        <v>33</v>
      </c>
      <c r="D82" s="12">
        <v>46038</v>
      </c>
      <c r="E82" s="12" t="str">
        <f>+TEXT(Tabla1[[#This Row],[fecha_revision]],"mmmm")</f>
        <v>Enero</v>
      </c>
      <c r="F82" s="3" t="s">
        <v>182</v>
      </c>
      <c r="G82" s="1" t="str">
        <f t="shared" si="7"/>
        <v>'260178261758',</v>
      </c>
      <c r="H82" s="1" t="s">
        <v>54</v>
      </c>
      <c r="I82" s="1" t="s">
        <v>183</v>
      </c>
      <c r="J82" s="1" t="str">
        <f t="shared" si="8"/>
        <v>'inv_WsSaujdZiyzYopFdU8RcoS',</v>
      </c>
      <c r="K82" s="1" t="s">
        <v>10</v>
      </c>
      <c r="L82" s="1">
        <v>100</v>
      </c>
      <c r="M82" s="1">
        <v>100</v>
      </c>
      <c r="N82" s="1">
        <f t="shared" si="9"/>
        <v>0</v>
      </c>
      <c r="O82" s="1" t="s">
        <v>30</v>
      </c>
      <c r="P82" s="4" t="s">
        <v>163</v>
      </c>
      <c r="Q82" s="13">
        <v>4001702</v>
      </c>
      <c r="R82" s="12">
        <v>46038</v>
      </c>
      <c r="S82" s="4" t="s">
        <v>32</v>
      </c>
      <c r="T82" s="5"/>
      <c r="U82" s="1"/>
      <c r="V82" s="1"/>
      <c r="W82" s="1"/>
      <c r="X82" s="1"/>
      <c r="Y8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'260178261758','VOUCHER_Currency': 'PEN','VOUCHER_Amount': 100,'VOUCHER_Operacion_PSP': '4001702','VOUCHER_FECHA':'46038'},</v>
      </c>
      <c r="Z8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'260178261758','VOUCHER_Currency': 'PEN','VOUCHER_Amount': 100,'VOUCHER_Operacion_PSP': '4001702','VOUCHER_FECHA':'46038'},</v>
      </c>
    </row>
    <row r="83" spans="1:26" x14ac:dyDescent="0.25">
      <c r="A83" s="1" t="s">
        <v>39</v>
      </c>
      <c r="B83" s="1" t="s">
        <v>40</v>
      </c>
      <c r="C83" s="1" t="s">
        <v>33</v>
      </c>
      <c r="D83" s="12">
        <v>46038</v>
      </c>
      <c r="E83" s="12" t="str">
        <f>+TEXT(Tabla1[[#This Row],[fecha_revision]],"mmmm")</f>
        <v>Enero</v>
      </c>
      <c r="F83" s="3" t="s">
        <v>184</v>
      </c>
      <c r="G83" s="1" t="str">
        <f t="shared" si="7"/>
        <v>'260178244225',</v>
      </c>
      <c r="H83" s="1" t="s">
        <v>54</v>
      </c>
      <c r="I83" s="1" t="s">
        <v>185</v>
      </c>
      <c r="J83" s="1" t="str">
        <f t="shared" si="8"/>
        <v>'inv_kTr3Q6dvFpuPLKnq6wa5Mg',</v>
      </c>
      <c r="K83" s="1" t="s">
        <v>10</v>
      </c>
      <c r="L83" s="1">
        <v>100</v>
      </c>
      <c r="M83" s="1">
        <v>100</v>
      </c>
      <c r="N83" s="1">
        <f t="shared" si="9"/>
        <v>0</v>
      </c>
      <c r="O83" s="1" t="s">
        <v>30</v>
      </c>
      <c r="P83" s="4" t="s">
        <v>163</v>
      </c>
      <c r="Q83" s="13">
        <v>4001668</v>
      </c>
      <c r="R83" s="12">
        <v>46038</v>
      </c>
      <c r="S83" s="4" t="s">
        <v>32</v>
      </c>
      <c r="T83" s="5"/>
      <c r="U83" s="1"/>
      <c r="V83" s="1"/>
      <c r="W83" s="1"/>
      <c r="X83" s="1"/>
      <c r="Y8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'260178244225','VOUCHER_Currency': 'PEN','VOUCHER_Amount': 100,'VOUCHER_Operacion_PSP': '4001668','VOUCHER_FECHA':'46038'},</v>
      </c>
      <c r="Z8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'260178244225','VOUCHER_Currency': 'PEN','VOUCHER_Amount': 100,'VOUCHER_Operacion_PSP': '4001668','VOUCHER_FECHA':'46038'},</v>
      </c>
    </row>
    <row r="84" spans="1:26" x14ac:dyDescent="0.25">
      <c r="A84" s="1" t="s">
        <v>39</v>
      </c>
      <c r="B84" s="1" t="s">
        <v>40</v>
      </c>
      <c r="C84" s="1" t="s">
        <v>33</v>
      </c>
      <c r="D84" s="12">
        <v>46038</v>
      </c>
      <c r="E84" s="12" t="str">
        <f>+TEXT(Tabla1[[#This Row],[fecha_revision]],"mmmm")</f>
        <v>Enero</v>
      </c>
      <c r="F84" s="3" t="s">
        <v>186</v>
      </c>
      <c r="G84" s="1" t="str">
        <f t="shared" si="7"/>
        <v>'260178238236',</v>
      </c>
      <c r="H84" s="1" t="s">
        <v>54</v>
      </c>
      <c r="I84" s="1" t="s">
        <v>187</v>
      </c>
      <c r="J84" s="1" t="str">
        <f t="shared" si="8"/>
        <v>'inv_GfaFbYHzcJ6uUWAXhjfsaQ',</v>
      </c>
      <c r="K84" s="1" t="s">
        <v>10</v>
      </c>
      <c r="L84" s="1">
        <v>100</v>
      </c>
      <c r="M84" s="1">
        <v>100</v>
      </c>
      <c r="N84" s="1">
        <f t="shared" si="9"/>
        <v>0</v>
      </c>
      <c r="O84" s="1" t="s">
        <v>30</v>
      </c>
      <c r="P84" s="4" t="s">
        <v>163</v>
      </c>
      <c r="Q84" s="13">
        <v>4001642</v>
      </c>
      <c r="R84" s="12">
        <v>46038</v>
      </c>
      <c r="S84" s="4" t="s">
        <v>32</v>
      </c>
      <c r="T84" s="5"/>
      <c r="U84" s="1"/>
      <c r="V84" s="1"/>
      <c r="W84" s="1"/>
      <c r="X84" s="1"/>
      <c r="Y8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'260178238236','VOUCHER_Currency': 'PEN','VOUCHER_Amount': 100,'VOUCHER_Operacion_PSP': '4001642','VOUCHER_FECHA':'46038'},</v>
      </c>
      <c r="Z8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'260178238236','VOUCHER_Currency': 'PEN','VOUCHER_Amount': 100,'VOUCHER_Operacion_PSP': '4001642','VOUCHER_FECHA':'46038'},</v>
      </c>
    </row>
    <row r="85" spans="1:26" x14ac:dyDescent="0.25">
      <c r="A85" s="1" t="s">
        <v>39</v>
      </c>
      <c r="B85" s="1" t="s">
        <v>40</v>
      </c>
      <c r="C85" s="1" t="s">
        <v>33</v>
      </c>
      <c r="D85" s="12">
        <v>46038</v>
      </c>
      <c r="E85" s="12" t="str">
        <f>+TEXT(Tabla1[[#This Row],[fecha_revision]],"mmmm")</f>
        <v>Enero</v>
      </c>
      <c r="F85" s="3" t="s">
        <v>188</v>
      </c>
      <c r="G85" s="1" t="str">
        <f t="shared" si="7"/>
        <v>'260178223859',</v>
      </c>
      <c r="H85" s="1" t="s">
        <v>54</v>
      </c>
      <c r="I85" s="1" t="s">
        <v>189</v>
      </c>
      <c r="J85" s="1" t="str">
        <f t="shared" si="8"/>
        <v>'inv_HTjvZ48CboAwjpSAMH5TvF',</v>
      </c>
      <c r="K85" s="1" t="s">
        <v>10</v>
      </c>
      <c r="L85" s="1">
        <v>100</v>
      </c>
      <c r="M85" s="1">
        <v>100</v>
      </c>
      <c r="N85" s="1">
        <f t="shared" si="9"/>
        <v>0</v>
      </c>
      <c r="O85" s="1" t="s">
        <v>30</v>
      </c>
      <c r="P85" s="4" t="s">
        <v>163</v>
      </c>
      <c r="Q85" s="13">
        <v>4001610</v>
      </c>
      <c r="R85" s="12">
        <v>46038</v>
      </c>
      <c r="S85" s="4" t="s">
        <v>32</v>
      </c>
      <c r="T85" s="5"/>
      <c r="U85" s="1"/>
      <c r="V85" s="1"/>
      <c r="W85" s="1"/>
      <c r="X85" s="1"/>
      <c r="Y8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'260178223859','VOUCHER_Currency': 'PEN','VOUCHER_Amount': 100,'VOUCHER_Operacion_PSP': '4001610','VOUCHER_FECHA':'46038'},</v>
      </c>
      <c r="Z8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'260178223859','VOUCHER_Currency': 'PEN','VOUCHER_Amount': 100,'VOUCHER_Operacion_PSP': '4001610','VOUCHER_FECHA':'46038'},</v>
      </c>
    </row>
    <row r="86" spans="1:26" x14ac:dyDescent="0.25">
      <c r="A86" s="1" t="s">
        <v>39</v>
      </c>
      <c r="B86" s="1" t="s">
        <v>40</v>
      </c>
      <c r="C86" s="1" t="s">
        <v>33</v>
      </c>
      <c r="D86" s="12">
        <v>46038</v>
      </c>
      <c r="E86" s="12" t="str">
        <f>+TEXT(Tabla1[[#This Row],[fecha_revision]],"mmmm")</f>
        <v>Enero</v>
      </c>
      <c r="F86" s="3" t="s">
        <v>190</v>
      </c>
      <c r="G86" s="1" t="str">
        <f t="shared" si="7"/>
        <v>'260178244278',</v>
      </c>
      <c r="H86" s="1" t="s">
        <v>54</v>
      </c>
      <c r="I86" s="1" t="s">
        <v>191</v>
      </c>
      <c r="J86" s="1" t="str">
        <f t="shared" si="8"/>
        <v>'inv_nGtucoYfNUdrynCmtR3Xrn',</v>
      </c>
      <c r="K86" s="1" t="s">
        <v>10</v>
      </c>
      <c r="L86" s="1">
        <v>120</v>
      </c>
      <c r="M86" s="1">
        <v>120</v>
      </c>
      <c r="N86" s="1">
        <f t="shared" si="9"/>
        <v>0</v>
      </c>
      <c r="O86" s="1" t="s">
        <v>30</v>
      </c>
      <c r="P86" s="4" t="s">
        <v>163</v>
      </c>
      <c r="Q86" s="13">
        <v>4001660</v>
      </c>
      <c r="R86" s="12">
        <v>46038</v>
      </c>
      <c r="S86" s="4" t="s">
        <v>32</v>
      </c>
      <c r="T86" s="5"/>
      <c r="U86" s="1"/>
      <c r="V86" s="1"/>
      <c r="W86" s="1"/>
      <c r="X86" s="1"/>
      <c r="Y8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'260178244278','VOUCHER_Currency': 'PEN','VOUCHER_Amount': 120,'VOUCHER_Operacion_PSP': '4001660','VOUCHER_FECHA':'46038'},</v>
      </c>
      <c r="Z8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'260178244278','VOUCHER_Currency': 'PEN','VOUCHER_Amount': 120,'VOUCHER_Operacion_PSP': '4001660','VOUCHER_FECHA':'46038'},</v>
      </c>
    </row>
    <row r="87" spans="1:26" x14ac:dyDescent="0.25">
      <c r="A87" s="1" t="s">
        <v>39</v>
      </c>
      <c r="B87" s="1" t="s">
        <v>40</v>
      </c>
      <c r="C87" s="1" t="s">
        <v>27</v>
      </c>
      <c r="D87" s="12">
        <v>46038</v>
      </c>
      <c r="E87" s="12" t="str">
        <f>+TEXT(Tabla1[[#This Row],[fecha_revision]],"mmmm")</f>
        <v>Enero</v>
      </c>
      <c r="F87" s="3" t="s">
        <v>192</v>
      </c>
      <c r="G87" s="1" t="str">
        <f t="shared" si="7"/>
        <v>'260178262415',</v>
      </c>
      <c r="H87" s="1" t="s">
        <v>54</v>
      </c>
      <c r="I87" s="1" t="s">
        <v>193</v>
      </c>
      <c r="J87" s="1" t="str">
        <f t="shared" si="8"/>
        <v>'inv_EgFYoC6MoxgX3nG5w4c2v5',</v>
      </c>
      <c r="K87" s="1" t="s">
        <v>10</v>
      </c>
      <c r="L87" s="1">
        <v>170</v>
      </c>
      <c r="M87" s="1">
        <v>170</v>
      </c>
      <c r="N87" s="1">
        <f t="shared" si="9"/>
        <v>0</v>
      </c>
      <c r="O87" s="1" t="s">
        <v>30</v>
      </c>
      <c r="P87" s="4" t="s">
        <v>163</v>
      </c>
      <c r="Q87" s="13">
        <v>4001711</v>
      </c>
      <c r="R87" s="12">
        <v>46038</v>
      </c>
      <c r="S87" s="4" t="s">
        <v>32</v>
      </c>
      <c r="T87" s="5"/>
      <c r="U87" s="1"/>
      <c r="V87" s="1"/>
      <c r="W87" s="1"/>
      <c r="X87" s="1"/>
      <c r="Y8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'260178262415','VOUCHER_Currency': 'PEN','VOUCHER_Amount': 170,'VOUCHER_Operacion_PSP': '4001711','VOUCHER_FECHA':'46038'},</v>
      </c>
      <c r="Z8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'260178262415','VOUCHER_Currency': 'PEN','VOUCHER_Amount': 170,'VOUCHER_Operacion_PSP': '4001711','VOUCHER_FECHA':'46038'},</v>
      </c>
    </row>
    <row r="88" spans="1:26" x14ac:dyDescent="0.25">
      <c r="A88" s="1" t="s">
        <v>39</v>
      </c>
      <c r="B88" s="1" t="s">
        <v>40</v>
      </c>
      <c r="C88" s="1" t="s">
        <v>33</v>
      </c>
      <c r="D88" s="12">
        <v>46038</v>
      </c>
      <c r="E88" s="12" t="str">
        <f>+TEXT(Tabla1[[#This Row],[fecha_revision]],"mmmm")</f>
        <v>Enero</v>
      </c>
      <c r="F88" s="3" t="s">
        <v>194</v>
      </c>
      <c r="G88" s="1" t="str">
        <f t="shared" si="7"/>
        <v>'260178265206',</v>
      </c>
      <c r="H88" s="1" t="s">
        <v>54</v>
      </c>
      <c r="I88" s="1" t="s">
        <v>195</v>
      </c>
      <c r="J88" s="1" t="str">
        <f t="shared" si="8"/>
        <v>'inv_5bgYqhj8ZLsEgKdzjDeEcY',</v>
      </c>
      <c r="K88" s="1" t="s">
        <v>10</v>
      </c>
      <c r="L88" s="1">
        <v>200</v>
      </c>
      <c r="M88" s="1">
        <v>200</v>
      </c>
      <c r="N88" s="1">
        <f t="shared" si="9"/>
        <v>0</v>
      </c>
      <c r="O88" s="1" t="s">
        <v>30</v>
      </c>
      <c r="P88" s="4" t="s">
        <v>163</v>
      </c>
      <c r="Q88" s="13">
        <v>4001721</v>
      </c>
      <c r="R88" s="12">
        <v>46038</v>
      </c>
      <c r="S88" s="4" t="s">
        <v>32</v>
      </c>
      <c r="T88" s="5"/>
      <c r="U88" s="1"/>
      <c r="V88" s="1"/>
      <c r="W88" s="1"/>
      <c r="X88" s="1"/>
      <c r="Y8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'260178265206','VOUCHER_Currency': 'PEN','VOUCHER_Amount': 200,'VOUCHER_Operacion_PSP': '4001721','VOUCHER_FECHA':'46038'},</v>
      </c>
      <c r="Z8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'260178265206','VOUCHER_Currency': 'PEN','VOUCHER_Amount': 200,'VOUCHER_Operacion_PSP': '4001721','VOUCHER_FECHA':'46038'},</v>
      </c>
    </row>
    <row r="89" spans="1:26" x14ac:dyDescent="0.25">
      <c r="A89" s="1" t="s">
        <v>39</v>
      </c>
      <c r="B89" s="1" t="s">
        <v>40</v>
      </c>
      <c r="C89" s="1" t="s">
        <v>33</v>
      </c>
      <c r="D89" s="12">
        <v>46038</v>
      </c>
      <c r="E89" s="12" t="str">
        <f>+TEXT(Tabla1[[#This Row],[fecha_revision]],"mmmm")</f>
        <v>Enero</v>
      </c>
      <c r="F89" s="3" t="s">
        <v>196</v>
      </c>
      <c r="G89" s="1" t="str">
        <f t="shared" si="7"/>
        <v>'260178235334',</v>
      </c>
      <c r="H89" s="1" t="s">
        <v>54</v>
      </c>
      <c r="I89" s="1" t="s">
        <v>197</v>
      </c>
      <c r="J89" s="1" t="str">
        <f t="shared" si="8"/>
        <v>'inv_WYTcQXrSnAFLixeyqp4Joe',</v>
      </c>
      <c r="K89" s="1" t="s">
        <v>10</v>
      </c>
      <c r="L89" s="1">
        <v>256</v>
      </c>
      <c r="M89" s="1">
        <v>256</v>
      </c>
      <c r="N89" s="1">
        <f t="shared" si="9"/>
        <v>0</v>
      </c>
      <c r="O89" s="1" t="s">
        <v>30</v>
      </c>
      <c r="P89" s="4" t="s">
        <v>163</v>
      </c>
      <c r="Q89" s="13">
        <v>4001638</v>
      </c>
      <c r="R89" s="12">
        <v>46038</v>
      </c>
      <c r="S89" s="4" t="s">
        <v>32</v>
      </c>
      <c r="T89" s="5"/>
      <c r="U89" s="1"/>
      <c r="V89" s="1"/>
      <c r="W89" s="1"/>
      <c r="X89" s="1"/>
      <c r="Y8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'260178235334','VOUCHER_Currency': 'PEN','VOUCHER_Amount': 256,'VOUCHER_Operacion_PSP': '4001638','VOUCHER_FECHA':'46038'},</v>
      </c>
      <c r="Z8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'260178235334','VOUCHER_Currency': 'PEN','VOUCHER_Amount': 256,'VOUCHER_Operacion_PSP': '4001638','VOUCHER_FECHA':'46038'},</v>
      </c>
    </row>
    <row r="90" spans="1:26" x14ac:dyDescent="0.25">
      <c r="A90" s="1" t="s">
        <v>39</v>
      </c>
      <c r="B90" s="1" t="s">
        <v>40</v>
      </c>
      <c r="C90" s="1" t="s">
        <v>33</v>
      </c>
      <c r="D90" s="12">
        <v>46038</v>
      </c>
      <c r="E90" s="12" t="str">
        <f>+TEXT(Tabla1[[#This Row],[fecha_revision]],"mmmm")</f>
        <v>Enero</v>
      </c>
      <c r="F90" s="3" t="s">
        <v>198</v>
      </c>
      <c r="G90" s="1" t="str">
        <f t="shared" si="7"/>
        <v>'260178240016',</v>
      </c>
      <c r="H90" s="1" t="s">
        <v>54</v>
      </c>
      <c r="I90" s="1" t="s">
        <v>199</v>
      </c>
      <c r="J90" s="1" t="str">
        <f t="shared" si="8"/>
        <v>'inv_K9XBWdp6sLrUj4WBVoagum',</v>
      </c>
      <c r="K90" s="1" t="s">
        <v>10</v>
      </c>
      <c r="L90" s="1">
        <v>300</v>
      </c>
      <c r="M90" s="1">
        <v>300</v>
      </c>
      <c r="N90" s="1">
        <f t="shared" si="9"/>
        <v>0</v>
      </c>
      <c r="O90" s="1" t="s">
        <v>30</v>
      </c>
      <c r="P90" s="4" t="s">
        <v>163</v>
      </c>
      <c r="Q90" s="13">
        <v>4001650</v>
      </c>
      <c r="R90" s="12">
        <v>46038</v>
      </c>
      <c r="S90" s="4" t="s">
        <v>32</v>
      </c>
      <c r="T90" s="5"/>
      <c r="U90" s="1"/>
      <c r="V90" s="1"/>
      <c r="W90" s="1"/>
      <c r="X90" s="1"/>
      <c r="Y9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'260178240016','VOUCHER_Currency': 'PEN','VOUCHER_Amount': 300,'VOUCHER_Operacion_PSP': '4001650','VOUCHER_FECHA':'46038'},</v>
      </c>
      <c r="Z9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'260178240016','VOUCHER_Currency': 'PEN','VOUCHER_Amount': 300,'VOUCHER_Operacion_PSP': '4001650','VOUCHER_FECHA':'46038'},</v>
      </c>
    </row>
    <row r="91" spans="1:26" x14ac:dyDescent="0.25">
      <c r="A91" s="1" t="s">
        <v>39</v>
      </c>
      <c r="B91" s="1" t="s">
        <v>40</v>
      </c>
      <c r="C91" s="1" t="s">
        <v>27</v>
      </c>
      <c r="D91" s="12">
        <v>46038</v>
      </c>
      <c r="E91" s="12" t="str">
        <f>+TEXT(Tabla1[[#This Row],[fecha_revision]],"mmmm")</f>
        <v>Enero</v>
      </c>
      <c r="F91" s="3" t="s">
        <v>200</v>
      </c>
      <c r="G91" s="1" t="str">
        <f t="shared" si="7"/>
        <v>'260178224789',</v>
      </c>
      <c r="H91" s="1" t="s">
        <v>54</v>
      </c>
      <c r="I91" s="1" t="s">
        <v>201</v>
      </c>
      <c r="J91" s="1" t="str">
        <f t="shared" si="8"/>
        <v>'inv_8o5oRTVcbXNRZxszAUdts4',</v>
      </c>
      <c r="K91" s="1" t="s">
        <v>10</v>
      </c>
      <c r="L91" s="1">
        <v>300</v>
      </c>
      <c r="M91" s="1">
        <v>300</v>
      </c>
      <c r="N91" s="1">
        <f t="shared" si="9"/>
        <v>0</v>
      </c>
      <c r="O91" s="1" t="s">
        <v>30</v>
      </c>
      <c r="P91" s="4" t="s">
        <v>163</v>
      </c>
      <c r="Q91" s="13">
        <v>4001612</v>
      </c>
      <c r="R91" s="12">
        <v>46038</v>
      </c>
      <c r="S91" s="4" t="s">
        <v>32</v>
      </c>
      <c r="T91" s="5"/>
      <c r="U91" s="1"/>
      <c r="V91" s="1"/>
      <c r="W91" s="1"/>
      <c r="X91" s="1"/>
      <c r="Y9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'260178224789','VOUCHER_Currency': 'PEN','VOUCHER_Amount': 300,'VOUCHER_Operacion_PSP': '4001612','VOUCHER_FECHA':'46038'},</v>
      </c>
      <c r="Z9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'260178224789','VOUCHER_Currency': 'PEN','VOUCHER_Amount': 300,'VOUCHER_Operacion_PSP': '4001612','VOUCHER_FECHA':'46038'},</v>
      </c>
    </row>
    <row r="92" spans="1:26" x14ac:dyDescent="0.25">
      <c r="A92" s="1" t="s">
        <v>39</v>
      </c>
      <c r="B92" s="1" t="s">
        <v>40</v>
      </c>
      <c r="C92" s="1" t="s">
        <v>33</v>
      </c>
      <c r="D92" s="12">
        <v>46038</v>
      </c>
      <c r="E92" s="12" t="str">
        <f>+TEXT(Tabla1[[#This Row],[fecha_revision]],"mmmm")</f>
        <v>Enero</v>
      </c>
      <c r="F92" s="3" t="s">
        <v>202</v>
      </c>
      <c r="G92" s="1" t="str">
        <f t="shared" si="7"/>
        <v>'260178220944',</v>
      </c>
      <c r="H92" s="1" t="s">
        <v>54</v>
      </c>
      <c r="I92" s="1" t="s">
        <v>203</v>
      </c>
      <c r="J92" s="1" t="str">
        <f t="shared" si="8"/>
        <v>'inv_8d8byBxMoYQeyiTqaK97QU',</v>
      </c>
      <c r="K92" s="1" t="s">
        <v>10</v>
      </c>
      <c r="L92" s="1">
        <v>300</v>
      </c>
      <c r="M92" s="1">
        <v>300</v>
      </c>
      <c r="N92" s="1">
        <f t="shared" si="9"/>
        <v>0</v>
      </c>
      <c r="O92" s="1" t="s">
        <v>30</v>
      </c>
      <c r="P92" s="4" t="s">
        <v>163</v>
      </c>
      <c r="Q92" s="13">
        <v>4001604</v>
      </c>
      <c r="R92" s="12">
        <v>46038</v>
      </c>
      <c r="S92" s="4" t="s">
        <v>32</v>
      </c>
      <c r="T92" s="5"/>
      <c r="U92" s="1"/>
      <c r="V92" s="1"/>
      <c r="W92" s="1"/>
      <c r="X92" s="1"/>
      <c r="Y9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'260178220944','VOUCHER_Currency': 'PEN','VOUCHER_Amount': 300,'VOUCHER_Operacion_PSP': '4001604','VOUCHER_FECHA':'46038'},</v>
      </c>
      <c r="Z9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'260178220944','VOUCHER_Currency': 'PEN','VOUCHER_Amount': 300,'VOUCHER_Operacion_PSP': '4001604','VOUCHER_FECHA':'46038'},</v>
      </c>
    </row>
    <row r="93" spans="1:26" x14ac:dyDescent="0.25">
      <c r="A93" s="1" t="s">
        <v>39</v>
      </c>
      <c r="B93" s="1" t="s">
        <v>40</v>
      </c>
      <c r="C93" s="1" t="s">
        <v>33</v>
      </c>
      <c r="D93" s="12">
        <v>46038</v>
      </c>
      <c r="E93" s="12" t="str">
        <f>+TEXT(Tabla1[[#This Row],[fecha_revision]],"mmmm")</f>
        <v>Enero</v>
      </c>
      <c r="F93" s="3" t="s">
        <v>204</v>
      </c>
      <c r="G93" s="1" t="str">
        <f t="shared" si="7"/>
        <v>'260178245316',</v>
      </c>
      <c r="H93" s="1" t="s">
        <v>54</v>
      </c>
      <c r="I93" s="1" t="s">
        <v>205</v>
      </c>
      <c r="J93" s="1" t="str">
        <f t="shared" si="8"/>
        <v>'inv_LRtApY6G7AmMyjiSMNtKn3',</v>
      </c>
      <c r="K93" s="1" t="s">
        <v>10</v>
      </c>
      <c r="L93" s="1">
        <v>400</v>
      </c>
      <c r="M93" s="1">
        <v>400</v>
      </c>
      <c r="N93" s="1">
        <f t="shared" si="9"/>
        <v>0</v>
      </c>
      <c r="O93" s="1" t="s">
        <v>30</v>
      </c>
      <c r="P93" s="4" t="s">
        <v>163</v>
      </c>
      <c r="Q93" s="13">
        <v>4001666</v>
      </c>
      <c r="R93" s="12">
        <v>46038</v>
      </c>
      <c r="S93" s="4" t="s">
        <v>32</v>
      </c>
      <c r="T93" s="5"/>
      <c r="U93" s="1"/>
      <c r="V93" s="1"/>
      <c r="W93" s="1"/>
      <c r="X93" s="1"/>
      <c r="Y9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'260178245316','VOUCHER_Currency': 'PEN','VOUCHER_Amount': 400,'VOUCHER_Operacion_PSP': '4001666','VOUCHER_FECHA':'46038'},</v>
      </c>
      <c r="Z9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'260178245316','VOUCHER_Currency': 'PEN','VOUCHER_Amount': 400,'VOUCHER_Operacion_PSP': '4001666','VOUCHER_FECHA':'46038'},</v>
      </c>
    </row>
    <row r="94" spans="1:26" x14ac:dyDescent="0.25">
      <c r="A94" s="1" t="s">
        <v>39</v>
      </c>
      <c r="B94" s="1" t="s">
        <v>40</v>
      </c>
      <c r="C94" s="1" t="s">
        <v>27</v>
      </c>
      <c r="D94" s="12">
        <v>46038</v>
      </c>
      <c r="E94" s="12" t="str">
        <f>+TEXT(Tabla1[[#This Row],[fecha_revision]],"mmmm")</f>
        <v>Enero</v>
      </c>
      <c r="F94" s="3" t="s">
        <v>206</v>
      </c>
      <c r="G94" s="1" t="str">
        <f t="shared" si="7"/>
        <v>'260178229143',</v>
      </c>
      <c r="H94" s="1" t="s">
        <v>54</v>
      </c>
      <c r="I94" s="1" t="s">
        <v>207</v>
      </c>
      <c r="J94" s="1" t="str">
        <f t="shared" si="8"/>
        <v>'inv_4FKwUUU48mgBmNNV8eu3CE',</v>
      </c>
      <c r="K94" s="1" t="s">
        <v>10</v>
      </c>
      <c r="L94" s="1">
        <v>500</v>
      </c>
      <c r="M94" s="1">
        <v>500</v>
      </c>
      <c r="N94" s="1">
        <f t="shared" si="9"/>
        <v>0</v>
      </c>
      <c r="O94" s="1" t="s">
        <v>30</v>
      </c>
      <c r="P94" s="4" t="s">
        <v>163</v>
      </c>
      <c r="Q94" s="13">
        <v>4001622</v>
      </c>
      <c r="R94" s="12">
        <v>46038</v>
      </c>
      <c r="S94" s="4" t="s">
        <v>32</v>
      </c>
      <c r="T94" s="5"/>
      <c r="U94" s="1"/>
      <c r="V94" s="1"/>
      <c r="W94" s="1"/>
      <c r="X94" s="1"/>
      <c r="Y9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'260178229143','VOUCHER_Currency': 'PEN','VOUCHER_Amount': 500,'VOUCHER_Operacion_PSP': '4001622','VOUCHER_FECHA':'46038'},</v>
      </c>
      <c r="Z9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'260178229143','VOUCHER_Currency': 'PEN','VOUCHER_Amount': 500,'VOUCHER_Operacion_PSP': '4001622','VOUCHER_FECHA':'46038'},</v>
      </c>
    </row>
    <row r="95" spans="1:26" x14ac:dyDescent="0.25">
      <c r="A95" s="1" t="s">
        <v>39</v>
      </c>
      <c r="B95" s="1" t="s">
        <v>40</v>
      </c>
      <c r="C95" s="1" t="s">
        <v>33</v>
      </c>
      <c r="D95" s="12">
        <v>46038</v>
      </c>
      <c r="E95" s="12" t="str">
        <f>+TEXT(Tabla1[[#This Row],[fecha_revision]],"mmmm")</f>
        <v>Enero</v>
      </c>
      <c r="F95" s="3" t="s">
        <v>208</v>
      </c>
      <c r="G95" s="1" t="str">
        <f t="shared" si="7"/>
        <v>'260178225715',</v>
      </c>
      <c r="H95" s="1" t="s">
        <v>54</v>
      </c>
      <c r="I95" s="1" t="s">
        <v>209</v>
      </c>
      <c r="J95" s="1" t="str">
        <f t="shared" si="8"/>
        <v>'inv_8rmGJVqfpqBR4D5pXVvVVL',</v>
      </c>
      <c r="K95" s="1" t="s">
        <v>10</v>
      </c>
      <c r="L95" s="1">
        <v>500</v>
      </c>
      <c r="M95" s="1">
        <v>500</v>
      </c>
      <c r="N95" s="1">
        <f t="shared" si="9"/>
        <v>0</v>
      </c>
      <c r="O95" s="1" t="s">
        <v>30</v>
      </c>
      <c r="P95" s="4" t="s">
        <v>163</v>
      </c>
      <c r="Q95" s="13">
        <v>4001614</v>
      </c>
      <c r="R95" s="12">
        <v>46038</v>
      </c>
      <c r="S95" s="4" t="s">
        <v>32</v>
      </c>
      <c r="T95" s="5"/>
      <c r="U95" s="1"/>
      <c r="V95" s="1"/>
      <c r="W95" s="1"/>
      <c r="X95" s="1"/>
      <c r="Y9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'260178225715','VOUCHER_Currency': 'PEN','VOUCHER_Amount': 500,'VOUCHER_Operacion_PSP': '4001614','VOUCHER_FECHA':'46038'},</v>
      </c>
      <c r="Z9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'260178225715','VOUCHER_Currency': 'PEN','VOUCHER_Amount': 500,'VOUCHER_Operacion_PSP': '4001614','VOUCHER_FECHA':'46038'},</v>
      </c>
    </row>
    <row r="96" spans="1:26" x14ac:dyDescent="0.25">
      <c r="A96" s="1" t="s">
        <v>39</v>
      </c>
      <c r="B96" s="1" t="s">
        <v>40</v>
      </c>
      <c r="C96" s="1" t="s">
        <v>27</v>
      </c>
      <c r="D96" s="12">
        <v>46038</v>
      </c>
      <c r="E96" s="12" t="str">
        <f>+TEXT(Tabla1[[#This Row],[fecha_revision]],"mmmm")</f>
        <v>Enero</v>
      </c>
      <c r="F96" s="3" t="s">
        <v>210</v>
      </c>
      <c r="G96" s="1" t="str">
        <f t="shared" si="7"/>
        <v>'260178311314',</v>
      </c>
      <c r="H96" s="1" t="s">
        <v>211</v>
      </c>
      <c r="I96" s="1" t="s">
        <v>212</v>
      </c>
      <c r="J96" s="1" t="str">
        <f t="shared" si="8"/>
        <v>'inv_D37FYEyd5YgiVXNFyjU7x5',</v>
      </c>
      <c r="K96" s="1" t="s">
        <v>10</v>
      </c>
      <c r="L96" s="1">
        <v>20</v>
      </c>
      <c r="M96" s="1">
        <v>20</v>
      </c>
      <c r="N96" s="1">
        <f t="shared" si="9"/>
        <v>0</v>
      </c>
      <c r="O96" s="1" t="s">
        <v>30</v>
      </c>
      <c r="P96" s="4" t="s">
        <v>163</v>
      </c>
      <c r="Q96" s="13">
        <v>4001823</v>
      </c>
      <c r="R96" s="12">
        <v>46038</v>
      </c>
      <c r="S96" s="4" t="s">
        <v>32</v>
      </c>
      <c r="T96" s="5"/>
      <c r="U96" s="1"/>
      <c r="V96" s="1"/>
      <c r="W96" s="1"/>
      <c r="X96" s="1"/>
      <c r="Y9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'260178311314','VOUCHER_Currency': 'PEN','VOUCHER_Amount': 20,'VOUCHER_Operacion_PSP': '4001823','VOUCHER_FECHA':'46038'},</v>
      </c>
      <c r="Z9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'260178311314','VOUCHER_Currency': 'PEN','VOUCHER_Amount': 20,'VOUCHER_Operacion_PSP': '4001823','VOUCHER_FECHA':'46038'},</v>
      </c>
    </row>
    <row r="97" spans="1:26" x14ac:dyDescent="0.25">
      <c r="A97" s="1" t="s">
        <v>39</v>
      </c>
      <c r="B97" s="1" t="s">
        <v>40</v>
      </c>
      <c r="C97" s="1" t="s">
        <v>33</v>
      </c>
      <c r="D97" s="12">
        <v>46038</v>
      </c>
      <c r="E97" s="12" t="str">
        <f>+TEXT(Tabla1[[#This Row],[fecha_revision]],"mmmm")</f>
        <v>Enero</v>
      </c>
      <c r="F97" s="3" t="s">
        <v>213</v>
      </c>
      <c r="G97" s="1" t="str">
        <f t="shared" si="7"/>
        <v>'260178309157',</v>
      </c>
      <c r="H97" s="1" t="s">
        <v>214</v>
      </c>
      <c r="I97" s="1" t="s">
        <v>215</v>
      </c>
      <c r="J97" s="1" t="str">
        <f t="shared" si="8"/>
        <v>'inv_7t4vwDMaumiHQ7rxwehqJf',</v>
      </c>
      <c r="K97" s="1" t="s">
        <v>10</v>
      </c>
      <c r="L97" s="1">
        <v>20</v>
      </c>
      <c r="M97" s="1">
        <v>20</v>
      </c>
      <c r="N97" s="1">
        <f t="shared" si="9"/>
        <v>0</v>
      </c>
      <c r="O97" s="1" t="s">
        <v>30</v>
      </c>
      <c r="P97" s="4" t="s">
        <v>163</v>
      </c>
      <c r="Q97" s="13">
        <v>4001816</v>
      </c>
      <c r="R97" s="12">
        <v>46038</v>
      </c>
      <c r="S97" s="4" t="s">
        <v>32</v>
      </c>
      <c r="T97" s="5"/>
      <c r="U97" s="1"/>
      <c r="V97" s="1"/>
      <c r="W97" s="1"/>
      <c r="X97" s="1"/>
      <c r="Y9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'260178309157','VOUCHER_Currency': 'PEN','VOUCHER_Amount': 20,'VOUCHER_Operacion_PSP': '4001816','VOUCHER_FECHA':'46038'},</v>
      </c>
      <c r="Z9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'260178309157','VOUCHER_Currency': 'PEN','VOUCHER_Amount': 20,'VOUCHER_Operacion_PSP': '4001816','VOUCHER_FECHA':'46038'},</v>
      </c>
    </row>
    <row r="98" spans="1:26" x14ac:dyDescent="0.25">
      <c r="A98" s="1" t="s">
        <v>39</v>
      </c>
      <c r="B98" s="1" t="s">
        <v>40</v>
      </c>
      <c r="C98" s="1" t="s">
        <v>27</v>
      </c>
      <c r="D98" s="12">
        <v>46038</v>
      </c>
      <c r="E98" s="12" t="str">
        <f>+TEXT(Tabla1[[#This Row],[fecha_revision]],"mmmm")</f>
        <v>Enero</v>
      </c>
      <c r="F98" s="3" t="s">
        <v>216</v>
      </c>
      <c r="G98" s="1" t="str">
        <f t="shared" si="7"/>
        <v>'260178292026',</v>
      </c>
      <c r="H98" s="1" t="s">
        <v>217</v>
      </c>
      <c r="I98" s="1" t="s">
        <v>218</v>
      </c>
      <c r="J98" s="1" t="str">
        <f t="shared" si="8"/>
        <v>'inv_L9FMHhxQSqH5houUYddEZm',</v>
      </c>
      <c r="K98" s="1" t="s">
        <v>10</v>
      </c>
      <c r="L98" s="1">
        <v>20</v>
      </c>
      <c r="M98" s="1">
        <v>20</v>
      </c>
      <c r="N98" s="1">
        <f t="shared" si="9"/>
        <v>0</v>
      </c>
      <c r="O98" s="1" t="s">
        <v>30</v>
      </c>
      <c r="P98" s="4" t="s">
        <v>163</v>
      </c>
      <c r="Q98" s="13">
        <v>4001777</v>
      </c>
      <c r="R98" s="12">
        <v>46038</v>
      </c>
      <c r="S98" s="4" t="s">
        <v>32</v>
      </c>
      <c r="T98" s="5"/>
      <c r="U98" s="1"/>
      <c r="V98" s="1"/>
      <c r="W98" s="1"/>
      <c r="X98" s="1"/>
      <c r="Y9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'260178292026','VOUCHER_Currency': 'PEN','VOUCHER_Amount': 20,'VOUCHER_Operacion_PSP': '4001777','VOUCHER_FECHA':'46038'},</v>
      </c>
      <c r="Z9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'260178292026','VOUCHER_Currency': 'PEN','VOUCHER_Amount': 20,'VOUCHER_Operacion_PSP': '4001777','VOUCHER_FECHA':'46038'},</v>
      </c>
    </row>
    <row r="99" spans="1:26" x14ac:dyDescent="0.25">
      <c r="A99" s="1" t="s">
        <v>39</v>
      </c>
      <c r="B99" s="1" t="s">
        <v>40</v>
      </c>
      <c r="C99" s="1" t="s">
        <v>33</v>
      </c>
      <c r="D99" s="12">
        <v>46038</v>
      </c>
      <c r="E99" s="12" t="str">
        <f>+TEXT(Tabla1[[#This Row],[fecha_revision]],"mmmm")</f>
        <v>Enero</v>
      </c>
      <c r="F99" s="3" t="s">
        <v>219</v>
      </c>
      <c r="G99" s="1" t="str">
        <f t="shared" si="7"/>
        <v>'260178286797',</v>
      </c>
      <c r="H99" s="1" t="s">
        <v>220</v>
      </c>
      <c r="I99" s="1" t="s">
        <v>221</v>
      </c>
      <c r="J99" s="1" t="str">
        <f t="shared" si="8"/>
        <v>'inv_LepMLWrX8AdEYaN6CLF6jK',</v>
      </c>
      <c r="K99" s="1" t="s">
        <v>10</v>
      </c>
      <c r="L99" s="1">
        <v>20</v>
      </c>
      <c r="M99" s="1">
        <v>20</v>
      </c>
      <c r="N99" s="1">
        <f t="shared" si="9"/>
        <v>0</v>
      </c>
      <c r="O99" s="1" t="s">
        <v>30</v>
      </c>
      <c r="P99" s="4" t="s">
        <v>163</v>
      </c>
      <c r="Q99" s="13">
        <v>4001761</v>
      </c>
      <c r="R99" s="12">
        <v>46038</v>
      </c>
      <c r="S99" s="4" t="s">
        <v>32</v>
      </c>
      <c r="T99" s="5"/>
      <c r="U99" s="1"/>
      <c r="V99" s="1"/>
      <c r="W99" s="1"/>
      <c r="X99" s="1"/>
      <c r="Y9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'260178286797','VOUCHER_Currency': 'PEN','VOUCHER_Amount': 20,'VOUCHER_Operacion_PSP': '4001761','VOUCHER_FECHA':'46038'},</v>
      </c>
      <c r="Z9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'260178286797','VOUCHER_Currency': 'PEN','VOUCHER_Amount': 20,'VOUCHER_Operacion_PSP': '4001761','VOUCHER_FECHA':'46038'},</v>
      </c>
    </row>
    <row r="100" spans="1:26" x14ac:dyDescent="0.25">
      <c r="A100" s="1" t="s">
        <v>39</v>
      </c>
      <c r="B100" s="1" t="s">
        <v>40</v>
      </c>
      <c r="C100" s="1" t="s">
        <v>222</v>
      </c>
      <c r="D100" s="12">
        <v>46038</v>
      </c>
      <c r="E100" s="12" t="str">
        <f>+TEXT(Tabla1[[#This Row],[fecha_revision]],"mmmm")</f>
        <v>Enero</v>
      </c>
      <c r="F100" s="3" t="s">
        <v>223</v>
      </c>
      <c r="G100" s="1" t="str">
        <f t="shared" si="7"/>
        <v>'260178262056',</v>
      </c>
      <c r="H100" s="1" t="s">
        <v>224</v>
      </c>
      <c r="I100" s="1" t="s">
        <v>225</v>
      </c>
      <c r="J100" s="1" t="str">
        <f t="shared" si="8"/>
        <v>'inv_cFpChDKFaFhc7r6mc7Fhym',</v>
      </c>
      <c r="K100" s="1" t="s">
        <v>10</v>
      </c>
      <c r="L100" s="1">
        <v>20</v>
      </c>
      <c r="M100" s="1">
        <v>20</v>
      </c>
      <c r="N100" s="1">
        <f t="shared" si="9"/>
        <v>0</v>
      </c>
      <c r="O100" s="1" t="s">
        <v>30</v>
      </c>
      <c r="P100" s="4" t="s">
        <v>163</v>
      </c>
      <c r="Q100" s="13">
        <v>4001706</v>
      </c>
      <c r="R100" s="12">
        <v>46038</v>
      </c>
      <c r="S100" s="4" t="s">
        <v>32</v>
      </c>
      <c r="T100" s="5"/>
      <c r="U100" s="1"/>
      <c r="V100" s="1"/>
      <c r="W100" s="1"/>
      <c r="X100" s="1"/>
      <c r="Y10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'260178262056','VOUCHER_Currency': 'PEN','VOUCHER_Amount': 20,'VOUCHER_Operacion_PSP': '4001706','VOUCHER_FECHA':'46038'},</v>
      </c>
      <c r="Z10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'260178262056','VOUCHER_Currency': 'PEN','VOUCHER_Amount': 20,'VOUCHER_Operacion_PSP': '4001706','VOUCHER_FECHA':'46038'},</v>
      </c>
    </row>
    <row r="101" spans="1:26" x14ac:dyDescent="0.25">
      <c r="A101" s="1" t="s">
        <v>39</v>
      </c>
      <c r="B101" s="1" t="s">
        <v>40</v>
      </c>
      <c r="C101" s="1" t="s">
        <v>27</v>
      </c>
      <c r="D101" s="12">
        <v>46038</v>
      </c>
      <c r="E101" s="12" t="str">
        <f>+TEXT(Tabla1[[#This Row],[fecha_revision]],"mmmm")</f>
        <v>Enero</v>
      </c>
      <c r="F101" s="3" t="s">
        <v>226</v>
      </c>
      <c r="G101" s="1" t="str">
        <f t="shared" si="7"/>
        <v>'260178271873',</v>
      </c>
      <c r="H101" s="1" t="s">
        <v>227</v>
      </c>
      <c r="I101" s="1" t="s">
        <v>228</v>
      </c>
      <c r="J101" s="1" t="str">
        <f t="shared" si="8"/>
        <v>'inv_HSx7i97WB9sYfwhTTQscwt',</v>
      </c>
      <c r="K101" s="1" t="s">
        <v>10</v>
      </c>
      <c r="L101" s="1">
        <v>46</v>
      </c>
      <c r="M101" s="1">
        <v>46</v>
      </c>
      <c r="N101" s="1">
        <f t="shared" si="9"/>
        <v>0</v>
      </c>
      <c r="O101" s="1" t="s">
        <v>30</v>
      </c>
      <c r="P101" s="4" t="s">
        <v>163</v>
      </c>
      <c r="Q101" s="13">
        <v>4001731</v>
      </c>
      <c r="R101" s="12">
        <v>46038</v>
      </c>
      <c r="S101" s="4" t="s">
        <v>32</v>
      </c>
      <c r="T101" s="5"/>
      <c r="U101" s="1"/>
      <c r="V101" s="1"/>
      <c r="W101" s="1"/>
      <c r="X101" s="1"/>
      <c r="Y10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'260178271873','VOUCHER_Currency': 'PEN','VOUCHER_Amount': 46,'VOUCHER_Operacion_PSP': '4001731','VOUCHER_FECHA':'46038'},</v>
      </c>
      <c r="Z10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'260178271873','VOUCHER_Currency': 'PEN','VOUCHER_Amount': 46,'VOUCHER_Operacion_PSP': '4001731','VOUCHER_FECHA':'46038'},</v>
      </c>
    </row>
    <row r="102" spans="1:26" x14ac:dyDescent="0.25">
      <c r="A102" s="1" t="s">
        <v>39</v>
      </c>
      <c r="B102" s="1" t="s">
        <v>40</v>
      </c>
      <c r="C102" s="1" t="s">
        <v>27</v>
      </c>
      <c r="D102" s="12">
        <v>46038</v>
      </c>
      <c r="E102" s="12" t="str">
        <f>+TEXT(Tabla1[[#This Row],[fecha_revision]],"mmmm")</f>
        <v>Enero</v>
      </c>
      <c r="F102" s="3" t="s">
        <v>229</v>
      </c>
      <c r="G102" s="1" t="str">
        <f t="shared" si="7"/>
        <v>'260178313225',</v>
      </c>
      <c r="H102" s="1" t="s">
        <v>230</v>
      </c>
      <c r="I102" s="1" t="s">
        <v>231</v>
      </c>
      <c r="J102" s="1" t="str">
        <f t="shared" si="8"/>
        <v>'inv_HogovmYGs4RwjjoBVeYiFC',</v>
      </c>
      <c r="K102" s="1" t="s">
        <v>10</v>
      </c>
      <c r="L102" s="1">
        <v>50</v>
      </c>
      <c r="M102" s="1">
        <v>50</v>
      </c>
      <c r="N102" s="1">
        <f t="shared" si="9"/>
        <v>0</v>
      </c>
      <c r="O102" s="1" t="s">
        <v>30</v>
      </c>
      <c r="P102" s="4" t="s">
        <v>163</v>
      </c>
      <c r="Q102" s="13">
        <v>4001825</v>
      </c>
      <c r="R102" s="12">
        <v>46038</v>
      </c>
      <c r="S102" s="4" t="s">
        <v>32</v>
      </c>
      <c r="T102" s="5"/>
      <c r="U102" s="1"/>
      <c r="V102" s="1"/>
      <c r="W102" s="1"/>
      <c r="X102" s="1"/>
      <c r="Y10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'260178313225','VOUCHER_Currency': 'PEN','VOUCHER_Amount': 50,'VOUCHER_Operacion_PSP': '4001825','VOUCHER_FECHA':'46038'},</v>
      </c>
      <c r="Z10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'260178313225','VOUCHER_Currency': 'PEN','VOUCHER_Amount': 50,'VOUCHER_Operacion_PSP': '4001825','VOUCHER_FECHA':'46038'},</v>
      </c>
    </row>
    <row r="103" spans="1:26" x14ac:dyDescent="0.25">
      <c r="A103" s="1" t="s">
        <v>39</v>
      </c>
      <c r="B103" s="1" t="s">
        <v>40</v>
      </c>
      <c r="C103" s="1" t="s">
        <v>27</v>
      </c>
      <c r="D103" s="12">
        <v>46038</v>
      </c>
      <c r="E103" s="12" t="str">
        <f>+TEXT(Tabla1[[#This Row],[fecha_revision]],"mmmm")</f>
        <v>Enero</v>
      </c>
      <c r="F103" s="3" t="s">
        <v>232</v>
      </c>
      <c r="G103" s="1" t="str">
        <f t="shared" si="7"/>
        <v>'260178310221',</v>
      </c>
      <c r="H103" s="1" t="s">
        <v>233</v>
      </c>
      <c r="I103" s="1" t="s">
        <v>234</v>
      </c>
      <c r="J103" s="1" t="str">
        <f t="shared" si="8"/>
        <v>'inv_SJnzS9KpRAr3qZcGd3dwRe',</v>
      </c>
      <c r="K103" s="1" t="s">
        <v>10</v>
      </c>
      <c r="L103" s="1">
        <v>50</v>
      </c>
      <c r="M103" s="1">
        <v>50</v>
      </c>
      <c r="N103" s="1">
        <f t="shared" si="9"/>
        <v>0</v>
      </c>
      <c r="O103" s="1" t="s">
        <v>30</v>
      </c>
      <c r="P103" s="4" t="s">
        <v>163</v>
      </c>
      <c r="Q103" s="13">
        <v>4001814</v>
      </c>
      <c r="R103" s="12">
        <v>46038</v>
      </c>
      <c r="S103" s="4" t="s">
        <v>32</v>
      </c>
      <c r="T103" s="5"/>
      <c r="U103" s="1"/>
      <c r="V103" s="1"/>
      <c r="W103" s="1"/>
      <c r="X103" s="1"/>
      <c r="Y10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'260178310221','VOUCHER_Currency': 'PEN','VOUCHER_Amount': 50,'VOUCHER_Operacion_PSP': '4001814','VOUCHER_FECHA':'46038'},</v>
      </c>
      <c r="Z10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'260178310221','VOUCHER_Currency': 'PEN','VOUCHER_Amount': 50,'VOUCHER_Operacion_PSP': '4001814','VOUCHER_FECHA':'46038'},</v>
      </c>
    </row>
    <row r="104" spans="1:26" x14ac:dyDescent="0.25">
      <c r="A104" s="1" t="s">
        <v>39</v>
      </c>
      <c r="B104" s="1" t="s">
        <v>40</v>
      </c>
      <c r="C104" s="1" t="s">
        <v>33</v>
      </c>
      <c r="D104" s="12">
        <v>46038</v>
      </c>
      <c r="E104" s="12" t="str">
        <f>+TEXT(Tabla1[[#This Row],[fecha_revision]],"mmmm")</f>
        <v>Enero</v>
      </c>
      <c r="F104" s="3" t="s">
        <v>235</v>
      </c>
      <c r="G104" s="1" t="str">
        <f t="shared" si="7"/>
        <v>'260178306664',</v>
      </c>
      <c r="H104" s="1" t="s">
        <v>236</v>
      </c>
      <c r="I104" s="1" t="s">
        <v>237</v>
      </c>
      <c r="J104" s="1" t="str">
        <f t="shared" si="8"/>
        <v>'inv_7e8fT4JHhzjwFfsR96udK3',</v>
      </c>
      <c r="K104" s="1" t="s">
        <v>10</v>
      </c>
      <c r="L104" s="1">
        <v>50</v>
      </c>
      <c r="M104" s="1">
        <v>50</v>
      </c>
      <c r="N104" s="1">
        <f t="shared" si="9"/>
        <v>0</v>
      </c>
      <c r="O104" s="1" t="s">
        <v>30</v>
      </c>
      <c r="P104" s="4" t="s">
        <v>163</v>
      </c>
      <c r="Q104" s="13">
        <v>4001807</v>
      </c>
      <c r="R104" s="12">
        <v>46038</v>
      </c>
      <c r="S104" s="4" t="s">
        <v>32</v>
      </c>
      <c r="T104" s="5"/>
      <c r="U104" s="1"/>
      <c r="V104" s="1"/>
      <c r="W104" s="1"/>
      <c r="X104" s="1"/>
      <c r="Y10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'260178306664','VOUCHER_Currency': 'PEN','VOUCHER_Amount': 50,'VOUCHER_Operacion_PSP': '4001807','VOUCHER_FECHA':'46038'},</v>
      </c>
      <c r="Z10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'260178306664','VOUCHER_Currency': 'PEN','VOUCHER_Amount': 50,'VOUCHER_Operacion_PSP': '4001807','VOUCHER_FECHA':'46038'},</v>
      </c>
    </row>
    <row r="105" spans="1:26" x14ac:dyDescent="0.25">
      <c r="A105" s="1" t="s">
        <v>39</v>
      </c>
      <c r="B105" s="1" t="s">
        <v>40</v>
      </c>
      <c r="C105" s="1" t="s">
        <v>33</v>
      </c>
      <c r="D105" s="12">
        <v>46038</v>
      </c>
      <c r="E105" s="12" t="str">
        <f>+TEXT(Tabla1[[#This Row],[fecha_revision]],"mmmm")</f>
        <v>Enero</v>
      </c>
      <c r="F105" s="3" t="s">
        <v>238</v>
      </c>
      <c r="G105" s="1" t="str">
        <f t="shared" si="7"/>
        <v>'260178305977',</v>
      </c>
      <c r="H105" s="1" t="s">
        <v>239</v>
      </c>
      <c r="I105" s="1" t="s">
        <v>240</v>
      </c>
      <c r="J105" s="1" t="str">
        <f t="shared" si="8"/>
        <v>'inv_MqpCnzSNQRiALbeZZVbPUp',</v>
      </c>
      <c r="K105" s="1" t="s">
        <v>10</v>
      </c>
      <c r="L105" s="1">
        <v>50</v>
      </c>
      <c r="M105" s="1">
        <v>50</v>
      </c>
      <c r="N105" s="1">
        <f t="shared" si="9"/>
        <v>0</v>
      </c>
      <c r="O105" s="1" t="s">
        <v>30</v>
      </c>
      <c r="P105" s="4" t="s">
        <v>163</v>
      </c>
      <c r="Q105" s="13">
        <v>4001805</v>
      </c>
      <c r="R105" s="12">
        <v>46038</v>
      </c>
      <c r="S105" s="4" t="s">
        <v>32</v>
      </c>
      <c r="T105" s="5"/>
      <c r="U105" s="1"/>
      <c r="V105" s="1"/>
      <c r="W105" s="1"/>
      <c r="X105" s="1"/>
      <c r="Y10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'260178305977','VOUCHER_Currency': 'PEN','VOUCHER_Amount': 50,'VOUCHER_Operacion_PSP': '4001805','VOUCHER_FECHA':'46038'},</v>
      </c>
      <c r="Z10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'260178305977','VOUCHER_Currency': 'PEN','VOUCHER_Amount': 50,'VOUCHER_Operacion_PSP': '4001805','VOUCHER_FECHA':'46038'},</v>
      </c>
    </row>
    <row r="106" spans="1:26" x14ac:dyDescent="0.25">
      <c r="A106" s="1" t="s">
        <v>39</v>
      </c>
      <c r="B106" s="1" t="s">
        <v>40</v>
      </c>
      <c r="C106" s="1" t="s">
        <v>33</v>
      </c>
      <c r="D106" s="12">
        <v>46038</v>
      </c>
      <c r="E106" s="12" t="str">
        <f>+TEXT(Tabla1[[#This Row],[fecha_revision]],"mmmm")</f>
        <v>Enero</v>
      </c>
      <c r="F106" s="3" t="s">
        <v>241</v>
      </c>
      <c r="G106" s="1" t="str">
        <f t="shared" si="7"/>
        <v>'260178295059',</v>
      </c>
      <c r="H106" s="1" t="s">
        <v>242</v>
      </c>
      <c r="I106" s="1" t="s">
        <v>243</v>
      </c>
      <c r="J106" s="1" t="str">
        <f t="shared" si="8"/>
        <v>'inv_3Vx8Ed5FYegv4VpSo5SspE',</v>
      </c>
      <c r="K106" s="1" t="s">
        <v>10</v>
      </c>
      <c r="L106" s="1">
        <v>50</v>
      </c>
      <c r="M106" s="1">
        <v>50</v>
      </c>
      <c r="N106" s="1">
        <f t="shared" si="9"/>
        <v>0</v>
      </c>
      <c r="O106" s="1" t="s">
        <v>30</v>
      </c>
      <c r="P106" s="4" t="s">
        <v>163</v>
      </c>
      <c r="Q106" s="13">
        <v>4001785</v>
      </c>
      <c r="R106" s="12">
        <v>46038</v>
      </c>
      <c r="S106" s="4" t="s">
        <v>32</v>
      </c>
      <c r="T106" s="5"/>
      <c r="U106" s="1"/>
      <c r="V106" s="1"/>
      <c r="W106" s="1"/>
      <c r="X106" s="1"/>
      <c r="Y10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'260178295059','VOUCHER_Currency': 'PEN','VOUCHER_Amount': 50,'VOUCHER_Operacion_PSP': '4001785','VOUCHER_FECHA':'46038'},</v>
      </c>
      <c r="Z10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'260178295059','VOUCHER_Currency': 'PEN','VOUCHER_Amount': 50,'VOUCHER_Operacion_PSP': '4001785','VOUCHER_FECHA':'46038'},</v>
      </c>
    </row>
    <row r="107" spans="1:26" x14ac:dyDescent="0.25">
      <c r="A107" s="1" t="s">
        <v>39</v>
      </c>
      <c r="B107" s="1" t="s">
        <v>40</v>
      </c>
      <c r="C107" s="1" t="s">
        <v>33</v>
      </c>
      <c r="D107" s="12">
        <v>46038</v>
      </c>
      <c r="E107" s="12" t="str">
        <f>+TEXT(Tabla1[[#This Row],[fecha_revision]],"mmmm")</f>
        <v>Enero</v>
      </c>
      <c r="F107" s="3" t="s">
        <v>244</v>
      </c>
      <c r="G107" s="1" t="str">
        <f t="shared" si="7"/>
        <v>'260178290177',</v>
      </c>
      <c r="H107" s="1" t="s">
        <v>245</v>
      </c>
      <c r="I107" s="1" t="s">
        <v>246</v>
      </c>
      <c r="J107" s="1" t="str">
        <f t="shared" si="8"/>
        <v>'inv_ACeQSji7mDF8fYgrTGxR89',</v>
      </c>
      <c r="K107" s="1" t="s">
        <v>10</v>
      </c>
      <c r="L107" s="1">
        <v>50</v>
      </c>
      <c r="M107" s="1">
        <v>50</v>
      </c>
      <c r="N107" s="1">
        <f t="shared" si="9"/>
        <v>0</v>
      </c>
      <c r="O107" s="1" t="s">
        <v>30</v>
      </c>
      <c r="P107" s="4" t="s">
        <v>163</v>
      </c>
      <c r="Q107" s="13">
        <v>4001771</v>
      </c>
      <c r="R107" s="12">
        <v>46038</v>
      </c>
      <c r="S107" s="4" t="s">
        <v>32</v>
      </c>
      <c r="T107" s="5"/>
      <c r="U107" s="1"/>
      <c r="V107" s="1"/>
      <c r="W107" s="1"/>
      <c r="X107" s="1"/>
      <c r="Y10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'260178290177','VOUCHER_Currency': 'PEN','VOUCHER_Amount': 50,'VOUCHER_Operacion_PSP': '4001771','VOUCHER_FECHA':'46038'},</v>
      </c>
      <c r="Z10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'260178290177','VOUCHER_Currency': 'PEN','VOUCHER_Amount': 50,'VOUCHER_Operacion_PSP': '4001771','VOUCHER_FECHA':'46038'},</v>
      </c>
    </row>
    <row r="108" spans="1:26" x14ac:dyDescent="0.25">
      <c r="A108" s="1" t="s">
        <v>39</v>
      </c>
      <c r="B108" s="1" t="s">
        <v>40</v>
      </c>
      <c r="C108" s="1" t="s">
        <v>27</v>
      </c>
      <c r="D108" s="12">
        <v>46038</v>
      </c>
      <c r="E108" s="12" t="str">
        <f>+TEXT(Tabla1[[#This Row],[fecha_revision]],"mmmm")</f>
        <v>Enero</v>
      </c>
      <c r="F108" s="3" t="s">
        <v>247</v>
      </c>
      <c r="G108" s="1" t="str">
        <f t="shared" si="7"/>
        <v>'260178279961',</v>
      </c>
      <c r="H108" s="1" t="s">
        <v>248</v>
      </c>
      <c r="I108" s="1" t="s">
        <v>249</v>
      </c>
      <c r="J108" s="1" t="str">
        <f t="shared" si="8"/>
        <v>'inv_9X6Jy65ngyw4mJirZxxJKm',</v>
      </c>
      <c r="K108" s="1" t="s">
        <v>10</v>
      </c>
      <c r="L108" s="1">
        <v>50</v>
      </c>
      <c r="M108" s="1">
        <v>50</v>
      </c>
      <c r="N108" s="1">
        <f t="shared" si="9"/>
        <v>0</v>
      </c>
      <c r="O108" s="1" t="s">
        <v>30</v>
      </c>
      <c r="P108" s="4" t="s">
        <v>163</v>
      </c>
      <c r="Q108" s="13">
        <v>4001747</v>
      </c>
      <c r="R108" s="12">
        <v>46038</v>
      </c>
      <c r="S108" s="4" t="s">
        <v>32</v>
      </c>
      <c r="T108" s="5"/>
      <c r="U108" s="1"/>
      <c r="V108" s="1"/>
      <c r="W108" s="1"/>
      <c r="X108" s="1"/>
      <c r="Y10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'260178279961','VOUCHER_Currency': 'PEN','VOUCHER_Amount': 50,'VOUCHER_Operacion_PSP': '4001747','VOUCHER_FECHA':'46038'},</v>
      </c>
      <c r="Z10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'260178279961','VOUCHER_Currency': 'PEN','VOUCHER_Amount': 50,'VOUCHER_Operacion_PSP': '4001747','VOUCHER_FECHA':'46038'},</v>
      </c>
    </row>
    <row r="109" spans="1:26" x14ac:dyDescent="0.25">
      <c r="A109" s="1" t="s">
        <v>39</v>
      </c>
      <c r="B109" s="1" t="s">
        <v>40</v>
      </c>
      <c r="C109" s="1" t="s">
        <v>33</v>
      </c>
      <c r="D109" s="12">
        <v>46038</v>
      </c>
      <c r="E109" s="12" t="str">
        <f>+TEXT(Tabla1[[#This Row],[fecha_revision]],"mmmm")</f>
        <v>Enero</v>
      </c>
      <c r="F109" s="3" t="s">
        <v>250</v>
      </c>
      <c r="G109" s="1" t="str">
        <f t="shared" si="7"/>
        <v>'260178279168',</v>
      </c>
      <c r="H109" s="1" t="s">
        <v>251</v>
      </c>
      <c r="I109" s="1" t="s">
        <v>252</v>
      </c>
      <c r="J109" s="1" t="str">
        <f t="shared" si="8"/>
        <v>'inv_NsfBqGM2wbS9EehQcXUjWM',</v>
      </c>
      <c r="K109" s="1" t="s">
        <v>10</v>
      </c>
      <c r="L109" s="1">
        <v>50</v>
      </c>
      <c r="M109" s="1">
        <v>50</v>
      </c>
      <c r="N109" s="1">
        <f t="shared" si="9"/>
        <v>0</v>
      </c>
      <c r="O109" s="1" t="s">
        <v>30</v>
      </c>
      <c r="P109" s="4" t="s">
        <v>163</v>
      </c>
      <c r="Q109" s="13">
        <v>4001743</v>
      </c>
      <c r="R109" s="12">
        <v>46038</v>
      </c>
      <c r="S109" s="4" t="s">
        <v>32</v>
      </c>
      <c r="T109" s="5"/>
      <c r="U109" s="1"/>
      <c r="V109" s="1"/>
      <c r="W109" s="1"/>
      <c r="X109" s="1"/>
      <c r="Y10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'260178279168','VOUCHER_Currency': 'PEN','VOUCHER_Amount': 50,'VOUCHER_Operacion_PSP': '4001743','VOUCHER_FECHA':'46038'},</v>
      </c>
      <c r="Z10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'260178279168','VOUCHER_Currency': 'PEN','VOUCHER_Amount': 50,'VOUCHER_Operacion_PSP': '4001743','VOUCHER_FECHA':'46038'},</v>
      </c>
    </row>
    <row r="110" spans="1:26" x14ac:dyDescent="0.25">
      <c r="A110" s="1" t="s">
        <v>39</v>
      </c>
      <c r="B110" s="1" t="s">
        <v>40</v>
      </c>
      <c r="C110" s="1" t="s">
        <v>94</v>
      </c>
      <c r="D110" s="12">
        <v>46038</v>
      </c>
      <c r="E110" s="12" t="str">
        <f>+TEXT(Tabla1[[#This Row],[fecha_revision]],"mmmm")</f>
        <v>Enero</v>
      </c>
      <c r="F110" s="3" t="s">
        <v>253</v>
      </c>
      <c r="G110" s="1" t="str">
        <f t="shared" si="7"/>
        <v>'260178245866',</v>
      </c>
      <c r="H110" s="1" t="s">
        <v>254</v>
      </c>
      <c r="I110" s="1" t="s">
        <v>255</v>
      </c>
      <c r="J110" s="1" t="str">
        <f t="shared" si="8"/>
        <v>'inv_VqxUNFdv5JQe9D35DQ6ubL',</v>
      </c>
      <c r="K110" s="1" t="s">
        <v>10</v>
      </c>
      <c r="L110" s="1">
        <v>50</v>
      </c>
      <c r="M110" s="1">
        <v>50</v>
      </c>
      <c r="N110" s="1">
        <f t="shared" si="9"/>
        <v>0</v>
      </c>
      <c r="O110" s="1" t="s">
        <v>30</v>
      </c>
      <c r="P110" s="4" t="s">
        <v>163</v>
      </c>
      <c r="Q110" s="13">
        <v>4001670</v>
      </c>
      <c r="R110" s="12">
        <v>46038</v>
      </c>
      <c r="S110" s="4" t="s">
        <v>32</v>
      </c>
      <c r="T110" s="5"/>
      <c r="U110" s="1"/>
      <c r="V110" s="1"/>
      <c r="W110" s="1"/>
      <c r="X110" s="1"/>
      <c r="Y11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'260178245866','VOUCHER_Currency': 'PEN','VOUCHER_Amount': 50,'VOUCHER_Operacion_PSP': '4001670','VOUCHER_FECHA':'46038'},</v>
      </c>
      <c r="Z11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'260178245866','VOUCHER_Currency': 'PEN','VOUCHER_Amount': 50,'VOUCHER_Operacion_PSP': '4001670','VOUCHER_FECHA':'46038'},</v>
      </c>
    </row>
    <row r="111" spans="1:26" x14ac:dyDescent="0.25">
      <c r="A111" s="1" t="s">
        <v>39</v>
      </c>
      <c r="B111" s="1" t="s">
        <v>40</v>
      </c>
      <c r="C111" s="1" t="s">
        <v>33</v>
      </c>
      <c r="D111" s="12">
        <v>46038</v>
      </c>
      <c r="E111" s="12" t="str">
        <f>+TEXT(Tabla1[[#This Row],[fecha_revision]],"mmmm")</f>
        <v>Enero</v>
      </c>
      <c r="F111" s="3" t="s">
        <v>256</v>
      </c>
      <c r="G111" s="1" t="str">
        <f t="shared" si="7"/>
        <v>'260178309129',</v>
      </c>
      <c r="H111" s="1" t="s">
        <v>257</v>
      </c>
      <c r="I111" s="1" t="s">
        <v>258</v>
      </c>
      <c r="J111" s="1" t="str">
        <f t="shared" si="8"/>
        <v>'inv_44KUyLnxakRo5ZiuqrnrbQ',</v>
      </c>
      <c r="K111" s="1" t="s">
        <v>10</v>
      </c>
      <c r="L111" s="1">
        <v>100</v>
      </c>
      <c r="M111" s="1">
        <v>100</v>
      </c>
      <c r="N111" s="1">
        <f t="shared" si="9"/>
        <v>0</v>
      </c>
      <c r="O111" s="1" t="s">
        <v>30</v>
      </c>
      <c r="P111" s="4" t="s">
        <v>163</v>
      </c>
      <c r="Q111" s="13">
        <v>4001818</v>
      </c>
      <c r="R111" s="12">
        <v>46038</v>
      </c>
      <c r="S111" s="4" t="s">
        <v>32</v>
      </c>
      <c r="T111" s="5"/>
      <c r="U111" s="1"/>
      <c r="V111" s="1"/>
      <c r="W111" s="1"/>
      <c r="X111" s="1"/>
      <c r="Y11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'260178309129','VOUCHER_Currency': 'PEN','VOUCHER_Amount': 100,'VOUCHER_Operacion_PSP': '4001818','VOUCHER_FECHA':'46038'},</v>
      </c>
      <c r="Z11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'260178309129','VOUCHER_Currency': 'PEN','VOUCHER_Amount': 100,'VOUCHER_Operacion_PSP': '4001818','VOUCHER_FECHA':'46038'},</v>
      </c>
    </row>
    <row r="112" spans="1:26" x14ac:dyDescent="0.25">
      <c r="A112" s="1" t="s">
        <v>39</v>
      </c>
      <c r="B112" s="1" t="s">
        <v>40</v>
      </c>
      <c r="C112" s="1" t="s">
        <v>33</v>
      </c>
      <c r="D112" s="12">
        <v>46038</v>
      </c>
      <c r="E112" s="12" t="str">
        <f>+TEXT(Tabla1[[#This Row],[fecha_revision]],"mmmm")</f>
        <v>Enero</v>
      </c>
      <c r="F112" s="3" t="s">
        <v>259</v>
      </c>
      <c r="G112" s="1" t="str">
        <f t="shared" si="7"/>
        <v>'260178290224',</v>
      </c>
      <c r="H112" s="1" t="s">
        <v>260</v>
      </c>
      <c r="I112" s="1" t="s">
        <v>261</v>
      </c>
      <c r="J112" s="1" t="str">
        <f t="shared" si="8"/>
        <v>'inv_feoAuf6PFJ84P8n22SFdrX',</v>
      </c>
      <c r="K112" s="1" t="s">
        <v>10</v>
      </c>
      <c r="L112" s="1">
        <v>100</v>
      </c>
      <c r="M112" s="1">
        <v>100</v>
      </c>
      <c r="N112" s="1">
        <f t="shared" si="9"/>
        <v>0</v>
      </c>
      <c r="O112" s="1" t="s">
        <v>30</v>
      </c>
      <c r="P112" s="4" t="s">
        <v>163</v>
      </c>
      <c r="Q112" s="13">
        <v>4001779</v>
      </c>
      <c r="R112" s="12">
        <v>46038</v>
      </c>
      <c r="S112" s="4" t="s">
        <v>32</v>
      </c>
      <c r="T112" s="5"/>
      <c r="U112" s="1"/>
      <c r="V112" s="1"/>
      <c r="W112" s="1"/>
      <c r="X112" s="1"/>
      <c r="Y11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'260178290224','VOUCHER_Currency': 'PEN','VOUCHER_Amount': 100,'VOUCHER_Operacion_PSP': '4001779','VOUCHER_FECHA':'46038'},</v>
      </c>
      <c r="Z11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'260178290224','VOUCHER_Currency': 'PEN','VOUCHER_Amount': 100,'VOUCHER_Operacion_PSP': '4001779','VOUCHER_FECHA':'46038'},</v>
      </c>
    </row>
    <row r="113" spans="1:26" x14ac:dyDescent="0.25">
      <c r="A113" s="1" t="s">
        <v>39</v>
      </c>
      <c r="B113" s="1" t="s">
        <v>40</v>
      </c>
      <c r="C113" s="1" t="s">
        <v>33</v>
      </c>
      <c r="D113" s="12">
        <v>46038</v>
      </c>
      <c r="E113" s="12" t="str">
        <f>+TEXT(Tabla1[[#This Row],[fecha_revision]],"mmmm")</f>
        <v>Enero</v>
      </c>
      <c r="F113" s="3" t="s">
        <v>262</v>
      </c>
      <c r="G113" s="1" t="str">
        <f t="shared" si="7"/>
        <v>'260178284672',</v>
      </c>
      <c r="H113" s="1" t="s">
        <v>263</v>
      </c>
      <c r="I113" s="1" t="s">
        <v>264</v>
      </c>
      <c r="J113" s="1" t="str">
        <f t="shared" si="8"/>
        <v>'inv_msinm4s9TQjPXxg3FYFKcS',</v>
      </c>
      <c r="K113" s="1" t="s">
        <v>10</v>
      </c>
      <c r="L113" s="1">
        <v>100</v>
      </c>
      <c r="M113" s="1">
        <v>100</v>
      </c>
      <c r="N113" s="1">
        <f t="shared" si="9"/>
        <v>0</v>
      </c>
      <c r="O113" s="1" t="s">
        <v>30</v>
      </c>
      <c r="P113" s="4" t="s">
        <v>163</v>
      </c>
      <c r="Q113" s="13">
        <v>4001757</v>
      </c>
      <c r="R113" s="12">
        <v>46038</v>
      </c>
      <c r="S113" s="4" t="s">
        <v>32</v>
      </c>
      <c r="T113" s="5"/>
      <c r="U113" s="1"/>
      <c r="V113" s="1"/>
      <c r="W113" s="1"/>
      <c r="X113" s="1"/>
      <c r="Y11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'260178284672','VOUCHER_Currency': 'PEN','VOUCHER_Amount': 100,'VOUCHER_Operacion_PSP': '4001757','VOUCHER_FECHA':'46038'},</v>
      </c>
      <c r="Z11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'260178284672','VOUCHER_Currency': 'PEN','VOUCHER_Amount': 100,'VOUCHER_Operacion_PSP': '4001757','VOUCHER_FECHA':'46038'},</v>
      </c>
    </row>
    <row r="114" spans="1:26" x14ac:dyDescent="0.25">
      <c r="A114" s="1" t="s">
        <v>39</v>
      </c>
      <c r="B114" s="1" t="s">
        <v>40</v>
      </c>
      <c r="C114" s="1" t="s">
        <v>33</v>
      </c>
      <c r="D114" s="12">
        <v>46038</v>
      </c>
      <c r="E114" s="12" t="str">
        <f>+TEXT(Tabla1[[#This Row],[fecha_revision]],"mmmm")</f>
        <v>Enero</v>
      </c>
      <c r="F114" s="3" t="s">
        <v>265</v>
      </c>
      <c r="G114" s="1" t="str">
        <f t="shared" si="7"/>
        <v>'260178277811',</v>
      </c>
      <c r="H114" s="1" t="s">
        <v>266</v>
      </c>
      <c r="I114" s="1" t="s">
        <v>267</v>
      </c>
      <c r="J114" s="1" t="str">
        <f t="shared" si="8"/>
        <v>'inv_jZ4kphFMAbgdDSbCen3ZgQ',</v>
      </c>
      <c r="K114" s="1" t="s">
        <v>10</v>
      </c>
      <c r="L114" s="1">
        <v>100</v>
      </c>
      <c r="M114" s="1">
        <v>100</v>
      </c>
      <c r="N114" s="1">
        <f t="shared" si="9"/>
        <v>0</v>
      </c>
      <c r="O114" s="1" t="s">
        <v>30</v>
      </c>
      <c r="P114" s="4" t="s">
        <v>163</v>
      </c>
      <c r="Q114" s="13">
        <v>4001739</v>
      </c>
      <c r="R114" s="12">
        <v>46038</v>
      </c>
      <c r="S114" s="4" t="s">
        <v>32</v>
      </c>
      <c r="T114" s="5"/>
      <c r="U114" s="1"/>
      <c r="V114" s="1"/>
      <c r="W114" s="1"/>
      <c r="X114" s="1"/>
      <c r="Y11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'260178277811','VOUCHER_Currency': 'PEN','VOUCHER_Amount': 100,'VOUCHER_Operacion_PSP': '4001739','VOUCHER_FECHA':'46038'},</v>
      </c>
      <c r="Z11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'260178277811','VOUCHER_Currency': 'PEN','VOUCHER_Amount': 100,'VOUCHER_Operacion_PSP': '4001739','VOUCHER_FECHA':'46038'},</v>
      </c>
    </row>
    <row r="115" spans="1:26" x14ac:dyDescent="0.25">
      <c r="A115" s="1" t="s">
        <v>39</v>
      </c>
      <c r="B115" s="1" t="s">
        <v>40</v>
      </c>
      <c r="C115" s="1" t="s">
        <v>94</v>
      </c>
      <c r="D115" s="12">
        <v>46038</v>
      </c>
      <c r="E115" s="12" t="str">
        <f>+TEXT(Tabla1[[#This Row],[fecha_revision]],"mmmm")</f>
        <v>Enero</v>
      </c>
      <c r="F115" s="3" t="s">
        <v>268</v>
      </c>
      <c r="G115" s="1" t="str">
        <f t="shared" si="7"/>
        <v>'260178264989',</v>
      </c>
      <c r="H115" s="1" t="s">
        <v>269</v>
      </c>
      <c r="I115" s="1" t="s">
        <v>270</v>
      </c>
      <c r="J115" s="1" t="str">
        <f t="shared" si="8"/>
        <v>'inv_5LoBbRnhTLdzSsZXfKWeyK',</v>
      </c>
      <c r="K115" s="1" t="s">
        <v>10</v>
      </c>
      <c r="L115" s="1">
        <v>100</v>
      </c>
      <c r="M115" s="1">
        <v>100</v>
      </c>
      <c r="N115" s="1">
        <f t="shared" si="9"/>
        <v>0</v>
      </c>
      <c r="O115" s="1" t="s">
        <v>30</v>
      </c>
      <c r="P115" s="4" t="s">
        <v>163</v>
      </c>
      <c r="Q115" s="13">
        <v>4001715</v>
      </c>
      <c r="R115" s="12">
        <v>46038</v>
      </c>
      <c r="S115" s="4" t="s">
        <v>32</v>
      </c>
      <c r="T115" s="5"/>
      <c r="U115" s="1"/>
      <c r="V115" s="1"/>
      <c r="W115" s="1"/>
      <c r="X115" s="1"/>
      <c r="Y11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'260178264989','VOUCHER_Currency': 'PEN','VOUCHER_Amount': 100,'VOUCHER_Operacion_PSP': '4001715','VOUCHER_FECHA':'46038'},</v>
      </c>
      <c r="Z11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'260178264989','VOUCHER_Currency': 'PEN','VOUCHER_Amount': 100,'VOUCHER_Operacion_PSP': '4001715','VOUCHER_FECHA':'46038'},</v>
      </c>
    </row>
    <row r="116" spans="1:26" x14ac:dyDescent="0.25">
      <c r="A116" s="1" t="s">
        <v>39</v>
      </c>
      <c r="B116" s="1" t="s">
        <v>40</v>
      </c>
      <c r="C116" s="1" t="s">
        <v>222</v>
      </c>
      <c r="D116" s="12">
        <v>46038</v>
      </c>
      <c r="E116" s="12" t="str">
        <f>+TEXT(Tabla1[[#This Row],[fecha_revision]],"mmmm")</f>
        <v>Enero</v>
      </c>
      <c r="F116" s="3" t="s">
        <v>271</v>
      </c>
      <c r="G116" s="1" t="str">
        <f t="shared" si="7"/>
        <v>'260178282243',</v>
      </c>
      <c r="H116" s="1" t="s">
        <v>272</v>
      </c>
      <c r="I116" s="1" t="s">
        <v>273</v>
      </c>
      <c r="J116" s="1" t="str">
        <f t="shared" si="8"/>
        <v>'inv_QAtuUr8SEoZVFmPWPR4uMi',</v>
      </c>
      <c r="K116" s="1" t="s">
        <v>10</v>
      </c>
      <c r="L116" s="1">
        <v>200</v>
      </c>
      <c r="M116" s="1">
        <v>200</v>
      </c>
      <c r="N116" s="1">
        <f t="shared" si="9"/>
        <v>0</v>
      </c>
      <c r="O116" s="1" t="s">
        <v>30</v>
      </c>
      <c r="P116" s="4" t="s">
        <v>163</v>
      </c>
      <c r="Q116" s="13">
        <v>4001751</v>
      </c>
      <c r="R116" s="12">
        <v>46038</v>
      </c>
      <c r="S116" s="4" t="s">
        <v>32</v>
      </c>
      <c r="T116" s="5"/>
      <c r="U116" s="1"/>
      <c r="V116" s="1"/>
      <c r="W116" s="1"/>
      <c r="X116" s="1"/>
      <c r="Y11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'260178282243','VOUCHER_Currency': 'PEN','VOUCHER_Amount': 200,'VOUCHER_Operacion_PSP': '4001751','VOUCHER_FECHA':'46038'},</v>
      </c>
      <c r="Z11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'260178282243','VOUCHER_Currency': 'PEN','VOUCHER_Amount': 200,'VOUCHER_Operacion_PSP': '4001751','VOUCHER_FECHA':'46038'},</v>
      </c>
    </row>
    <row r="117" spans="1:26" x14ac:dyDescent="0.25">
      <c r="A117" s="1" t="s">
        <v>39</v>
      </c>
      <c r="B117" s="1" t="s">
        <v>40</v>
      </c>
      <c r="C117" s="1" t="s">
        <v>94</v>
      </c>
      <c r="D117" s="12">
        <v>46038</v>
      </c>
      <c r="E117" s="12" t="str">
        <f>+TEXT(Tabla1[[#This Row],[fecha_revision]],"mmmm")</f>
        <v>Enero</v>
      </c>
      <c r="F117" s="3" t="s">
        <v>274</v>
      </c>
      <c r="G117" s="1" t="str">
        <f t="shared" si="7"/>
        <v>'260178224492',</v>
      </c>
      <c r="H117" s="1" t="s">
        <v>275</v>
      </c>
      <c r="I117" s="1" t="s">
        <v>276</v>
      </c>
      <c r="J117" s="1" t="str">
        <f t="shared" si="8"/>
        <v>'inv_QQbwEpaSmhUPrpwLUoxnNV',</v>
      </c>
      <c r="K117" s="1" t="s">
        <v>10</v>
      </c>
      <c r="L117" s="1">
        <v>200</v>
      </c>
      <c r="M117" s="1">
        <v>200</v>
      </c>
      <c r="N117" s="1">
        <f t="shared" si="9"/>
        <v>0</v>
      </c>
      <c r="O117" s="1" t="s">
        <v>30</v>
      </c>
      <c r="P117" s="4" t="s">
        <v>163</v>
      </c>
      <c r="Q117" s="13">
        <v>4001616</v>
      </c>
      <c r="R117" s="12">
        <v>46038</v>
      </c>
      <c r="S117" s="4" t="s">
        <v>32</v>
      </c>
      <c r="T117" s="5"/>
      <c r="U117" s="1"/>
      <c r="V117" s="1"/>
      <c r="W117" s="1"/>
      <c r="X117" s="1"/>
      <c r="Y11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'260178224492','VOUCHER_Currency': 'PEN','VOUCHER_Amount': 200,'VOUCHER_Operacion_PSP': '4001616','VOUCHER_FECHA':'46038'},</v>
      </c>
      <c r="Z11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'260178224492','VOUCHER_Currency': 'PEN','VOUCHER_Amount': 200,'VOUCHER_Operacion_PSP': '4001616','VOUCHER_FECHA':'46038'},</v>
      </c>
    </row>
    <row r="118" spans="1:26" x14ac:dyDescent="0.25">
      <c r="A118" s="1" t="s">
        <v>39</v>
      </c>
      <c r="B118" s="1" t="s">
        <v>40</v>
      </c>
      <c r="C118" s="1" t="s">
        <v>33</v>
      </c>
      <c r="D118" s="12">
        <v>46038</v>
      </c>
      <c r="E118" s="12" t="str">
        <f>+TEXT(Tabla1[[#This Row],[fecha_revision]],"mmmm")</f>
        <v>Enero</v>
      </c>
      <c r="F118" s="3" t="s">
        <v>277</v>
      </c>
      <c r="G118" s="1" t="str">
        <f t="shared" si="7"/>
        <v>'260178281437',</v>
      </c>
      <c r="H118" s="1" t="s">
        <v>278</v>
      </c>
      <c r="I118" s="1" t="s">
        <v>279</v>
      </c>
      <c r="J118" s="1" t="str">
        <f t="shared" si="8"/>
        <v>'inv_bCi3M4zfEzM83Qc8p8ZG9n',</v>
      </c>
      <c r="K118" s="1" t="s">
        <v>10</v>
      </c>
      <c r="L118" s="1">
        <v>500</v>
      </c>
      <c r="M118" s="1">
        <v>500</v>
      </c>
      <c r="N118" s="1">
        <f t="shared" si="9"/>
        <v>0</v>
      </c>
      <c r="O118" s="1" t="s">
        <v>30</v>
      </c>
      <c r="P118" s="4" t="s">
        <v>163</v>
      </c>
      <c r="Q118" s="13">
        <v>4001749</v>
      </c>
      <c r="R118" s="12">
        <v>46038</v>
      </c>
      <c r="S118" s="4" t="s">
        <v>32</v>
      </c>
      <c r="T118" s="5"/>
      <c r="U118" s="1"/>
      <c r="V118" s="1"/>
      <c r="W118" s="1"/>
      <c r="X118" s="1"/>
      <c r="Y11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'260178281437','VOUCHER_Currency': 'PEN','VOUCHER_Amount': 500,'VOUCHER_Operacion_PSP': '4001749','VOUCHER_FECHA':'46038'},</v>
      </c>
      <c r="Z11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'260178281437','VOUCHER_Currency': 'PEN','VOUCHER_Amount': 500,'VOUCHER_Operacion_PSP': '4001749','VOUCHER_FECHA':'46038'},</v>
      </c>
    </row>
    <row r="119" spans="1:26" x14ac:dyDescent="0.25">
      <c r="A119" s="1" t="s">
        <v>39</v>
      </c>
      <c r="B119" s="1" t="s">
        <v>40</v>
      </c>
      <c r="C119" s="1" t="s">
        <v>94</v>
      </c>
      <c r="D119" s="12">
        <v>46038</v>
      </c>
      <c r="E119" s="12" t="str">
        <f>+TEXT(Tabla1[[#This Row],[fecha_revision]],"mmmm")</f>
        <v>Enero</v>
      </c>
      <c r="F119" s="3" t="s">
        <v>280</v>
      </c>
      <c r="G119" s="1" t="str">
        <f t="shared" si="7"/>
        <v>'260178266891',</v>
      </c>
      <c r="H119" s="1" t="s">
        <v>281</v>
      </c>
      <c r="I119" s="1" t="s">
        <v>282</v>
      </c>
      <c r="J119" s="1" t="str">
        <f t="shared" si="8"/>
        <v>'inv_FpvwBxUErC4aBxbXJgnd3g',</v>
      </c>
      <c r="K119" s="1" t="s">
        <v>10</v>
      </c>
      <c r="L119" s="1">
        <v>500</v>
      </c>
      <c r="M119" s="1">
        <v>500</v>
      </c>
      <c r="N119" s="1">
        <f t="shared" si="9"/>
        <v>0</v>
      </c>
      <c r="O119" s="1" t="s">
        <v>30</v>
      </c>
      <c r="P119" s="4" t="s">
        <v>163</v>
      </c>
      <c r="Q119" s="13">
        <v>4001725</v>
      </c>
      <c r="R119" s="12">
        <v>46038</v>
      </c>
      <c r="S119" s="4" t="s">
        <v>32</v>
      </c>
      <c r="T119" s="5"/>
      <c r="U119" s="1"/>
      <c r="V119" s="1"/>
      <c r="W119" s="1"/>
      <c r="X119" s="1"/>
      <c r="Y11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'260178266891','VOUCHER_Currency': 'PEN','VOUCHER_Amount': 500,'VOUCHER_Operacion_PSP': '4001725','VOUCHER_FECHA':'46038'},</v>
      </c>
      <c r="Z11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'260178266891','VOUCHER_Currency': 'PEN','VOUCHER_Amount': 500,'VOUCHER_Operacion_PSP': '4001725','VOUCHER_FECHA':'46038'},</v>
      </c>
    </row>
    <row r="120" spans="1:26" x14ac:dyDescent="0.25">
      <c r="A120" s="1" t="s">
        <v>39</v>
      </c>
      <c r="B120" s="1" t="s">
        <v>40</v>
      </c>
      <c r="C120" s="1" t="s">
        <v>33</v>
      </c>
      <c r="D120" s="12">
        <v>46038</v>
      </c>
      <c r="E120" s="12" t="str">
        <f>+TEXT(Tabla1[[#This Row],[fecha_revision]],"mmmm")</f>
        <v>Enero</v>
      </c>
      <c r="F120" s="3" t="s">
        <v>283</v>
      </c>
      <c r="G120" s="1" t="str">
        <f t="shared" si="7"/>
        <v>'260178311073',</v>
      </c>
      <c r="H120" s="1" t="s">
        <v>284</v>
      </c>
      <c r="I120" s="1" t="s">
        <v>285</v>
      </c>
      <c r="J120" s="1" t="str">
        <f t="shared" si="8"/>
        <v>'inv_kVGDmY7b9DBnTxZttKpRyM',</v>
      </c>
      <c r="K120" s="1" t="s">
        <v>10</v>
      </c>
      <c r="L120" s="1">
        <v>1000</v>
      </c>
      <c r="M120" s="1">
        <v>1000</v>
      </c>
      <c r="N120" s="1">
        <f t="shared" si="9"/>
        <v>0</v>
      </c>
      <c r="O120" s="1" t="s">
        <v>30</v>
      </c>
      <c r="P120" s="4" t="s">
        <v>163</v>
      </c>
      <c r="Q120" s="13">
        <v>4001820</v>
      </c>
      <c r="R120" s="12">
        <v>46038</v>
      </c>
      <c r="S120" s="4" t="s">
        <v>32</v>
      </c>
      <c r="T120" s="5"/>
      <c r="U120" s="1"/>
      <c r="V120" s="1"/>
      <c r="W120" s="1"/>
      <c r="X120" s="1"/>
      <c r="Y12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'260178311073','VOUCHER_Currency': 'PEN','VOUCHER_Amount': 1000,'VOUCHER_Operacion_PSP': '4001820','VOUCHER_FECHA':'46038'},</v>
      </c>
      <c r="Z12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'260178311073','VOUCHER_Currency': 'PEN','VOUCHER_Amount': 1000,'VOUCHER_Operacion_PSP': '4001820','VOUCHER_FECHA':'46038'},</v>
      </c>
    </row>
    <row r="121" spans="1:26" x14ac:dyDescent="0.25">
      <c r="A121" s="1" t="s">
        <v>39</v>
      </c>
      <c r="B121" s="1" t="s">
        <v>40</v>
      </c>
      <c r="C121" s="1" t="s">
        <v>286</v>
      </c>
      <c r="D121" s="12">
        <v>46038</v>
      </c>
      <c r="E121" s="12" t="str">
        <f>+TEXT(Tabla1[[#This Row],[fecha_revision]],"mmmm")</f>
        <v>Enero</v>
      </c>
      <c r="F121" s="3" t="s">
        <v>287</v>
      </c>
      <c r="G121" s="1" t="str">
        <f t="shared" si="7"/>
        <v>'260178324141',</v>
      </c>
      <c r="H121" s="1" t="s">
        <v>54</v>
      </c>
      <c r="I121" s="1" t="s">
        <v>288</v>
      </c>
      <c r="J121" s="1" t="str">
        <f t="shared" si="8"/>
        <v>'inv_ADayhFgG87Tp7bJmxpGa4G',</v>
      </c>
      <c r="K121" s="1" t="s">
        <v>10</v>
      </c>
      <c r="L121" s="1">
        <v>10</v>
      </c>
      <c r="M121" s="1">
        <v>10</v>
      </c>
      <c r="N121" s="1">
        <f t="shared" si="9"/>
        <v>0</v>
      </c>
      <c r="O121" s="1" t="s">
        <v>30</v>
      </c>
      <c r="P121" s="4" t="s">
        <v>163</v>
      </c>
      <c r="Q121" s="13">
        <v>4001850</v>
      </c>
      <c r="R121" s="12">
        <v>46038</v>
      </c>
      <c r="S121" s="4" t="s">
        <v>32</v>
      </c>
      <c r="T121" s="5"/>
      <c r="U121" s="1"/>
      <c r="V121" s="1"/>
      <c r="W121" s="1"/>
      <c r="X121" s="1"/>
      <c r="Y12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'260178324141','VOUCHER_Currency': 'PEN','VOUCHER_Amount': 10,'VOUCHER_Operacion_PSP': '4001850','VOUCHER_FECHA':'46038'},</v>
      </c>
      <c r="Z12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'260178324141','VOUCHER_Currency': 'PEN','VOUCHER_Amount': 10,'VOUCHER_Operacion_PSP': '4001850','VOUCHER_FECHA':'46038'},</v>
      </c>
    </row>
    <row r="122" spans="1:26" x14ac:dyDescent="0.25">
      <c r="A122" s="1" t="s">
        <v>39</v>
      </c>
      <c r="B122" s="1" t="s">
        <v>40</v>
      </c>
      <c r="C122" s="1" t="s">
        <v>62</v>
      </c>
      <c r="D122" s="12">
        <v>46038</v>
      </c>
      <c r="E122" s="12" t="str">
        <f>+TEXT(Tabla1[[#This Row],[fecha_revision]],"mmmm")</f>
        <v>Enero</v>
      </c>
      <c r="F122" s="3" t="s">
        <v>289</v>
      </c>
      <c r="G122" s="1" t="str">
        <f t="shared" si="7"/>
        <v>'260178265456',</v>
      </c>
      <c r="H122" s="1" t="s">
        <v>54</v>
      </c>
      <c r="I122" s="1" t="s">
        <v>290</v>
      </c>
      <c r="J122" s="1" t="str">
        <f t="shared" si="8"/>
        <v>'inv_YJVrzjQSimkW46iU2r5nJE',</v>
      </c>
      <c r="K122" s="1" t="s">
        <v>10</v>
      </c>
      <c r="L122" s="1">
        <v>35</v>
      </c>
      <c r="M122" s="1">
        <v>35</v>
      </c>
      <c r="N122" s="1">
        <f t="shared" si="9"/>
        <v>0</v>
      </c>
      <c r="O122" s="1" t="s">
        <v>30</v>
      </c>
      <c r="P122" s="4" t="s">
        <v>163</v>
      </c>
      <c r="Q122" s="13">
        <v>4001735</v>
      </c>
      <c r="R122" s="12">
        <v>46038</v>
      </c>
      <c r="S122" s="4" t="s">
        <v>32</v>
      </c>
      <c r="T122" s="5"/>
      <c r="U122" s="1"/>
      <c r="V122" s="1"/>
      <c r="W122" s="1"/>
      <c r="X122" s="1"/>
      <c r="Y12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'260178265456','VOUCHER_Currency': 'PEN','VOUCHER_Amount': 35,'VOUCHER_Operacion_PSP': '4001735','VOUCHER_FECHA':'46038'},</v>
      </c>
      <c r="Z12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'260178265456','VOUCHER_Currency': 'PEN','VOUCHER_Amount': 35,'VOUCHER_Operacion_PSP': '4001735','VOUCHER_FECHA':'46038'},</v>
      </c>
    </row>
    <row r="123" spans="1:26" x14ac:dyDescent="0.25">
      <c r="A123" s="1" t="s">
        <v>39</v>
      </c>
      <c r="B123" s="1" t="s">
        <v>40</v>
      </c>
      <c r="C123" s="1" t="s">
        <v>33</v>
      </c>
      <c r="D123" s="12">
        <v>46038</v>
      </c>
      <c r="E123" s="12" t="str">
        <f>+TEXT(Tabla1[[#This Row],[fecha_revision]],"mmmm")</f>
        <v>Enero</v>
      </c>
      <c r="F123" s="3" t="s">
        <v>291</v>
      </c>
      <c r="G123" s="1" t="str">
        <f t="shared" si="7"/>
        <v>'260178317888',</v>
      </c>
      <c r="H123" s="1" t="s">
        <v>54</v>
      </c>
      <c r="I123" s="1" t="s">
        <v>292</v>
      </c>
      <c r="J123" s="1" t="str">
        <f t="shared" si="8"/>
        <v>'inv_5XjAA8u23zZxGJ7ruuX4yv',</v>
      </c>
      <c r="K123" s="1" t="s">
        <v>10</v>
      </c>
      <c r="L123" s="1">
        <v>50</v>
      </c>
      <c r="M123" s="1">
        <v>50</v>
      </c>
      <c r="N123" s="1">
        <f t="shared" si="9"/>
        <v>0</v>
      </c>
      <c r="O123" s="1" t="s">
        <v>30</v>
      </c>
      <c r="P123" s="4" t="s">
        <v>163</v>
      </c>
      <c r="Q123" s="13">
        <v>4001831</v>
      </c>
      <c r="R123" s="12">
        <v>46038</v>
      </c>
      <c r="S123" s="4" t="s">
        <v>32</v>
      </c>
      <c r="T123" s="5"/>
      <c r="U123" s="1"/>
      <c r="V123" s="1"/>
      <c r="W123" s="1"/>
      <c r="X123" s="1"/>
      <c r="Y12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'260178317888','VOUCHER_Currency': 'PEN','VOUCHER_Amount': 50,'VOUCHER_Operacion_PSP': '4001831','VOUCHER_FECHA':'46038'},</v>
      </c>
      <c r="Z12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'260178317888','VOUCHER_Currency': 'PEN','VOUCHER_Amount': 50,'VOUCHER_Operacion_PSP': '4001831','VOUCHER_FECHA':'46038'},</v>
      </c>
    </row>
    <row r="124" spans="1:26" x14ac:dyDescent="0.25">
      <c r="A124" s="1" t="s">
        <v>39</v>
      </c>
      <c r="B124" s="1" t="s">
        <v>40</v>
      </c>
      <c r="C124" s="1" t="s">
        <v>33</v>
      </c>
      <c r="D124" s="12">
        <v>46038</v>
      </c>
      <c r="E124" s="12" t="str">
        <f>+TEXT(Tabla1[[#This Row],[fecha_revision]],"mmmm")</f>
        <v>Enero</v>
      </c>
      <c r="F124" s="3" t="s">
        <v>293</v>
      </c>
      <c r="G124" s="1" t="str">
        <f t="shared" si="7"/>
        <v>'260178326322',</v>
      </c>
      <c r="H124" s="1" t="s">
        <v>54</v>
      </c>
      <c r="I124" s="1" t="s">
        <v>294</v>
      </c>
      <c r="J124" s="1" t="str">
        <f t="shared" si="8"/>
        <v>'inv_3dWWt53Kv445umtCxmJueS',</v>
      </c>
      <c r="K124" s="1" t="s">
        <v>10</v>
      </c>
      <c r="L124" s="1">
        <v>100</v>
      </c>
      <c r="M124" s="1">
        <v>100</v>
      </c>
      <c r="N124" s="1">
        <f t="shared" si="9"/>
        <v>0</v>
      </c>
      <c r="O124" s="1" t="s">
        <v>30</v>
      </c>
      <c r="P124" s="4" t="s">
        <v>163</v>
      </c>
      <c r="Q124" s="13">
        <v>4001848</v>
      </c>
      <c r="R124" s="12">
        <v>46038</v>
      </c>
      <c r="S124" s="4" t="s">
        <v>32</v>
      </c>
      <c r="T124" s="5"/>
      <c r="U124" s="1"/>
      <c r="V124" s="1"/>
      <c r="W124" s="1"/>
      <c r="X124" s="1"/>
      <c r="Y12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'260178326322','VOUCHER_Currency': 'PEN','VOUCHER_Amount': 100,'VOUCHER_Operacion_PSP': '4001848','VOUCHER_FECHA':'46038'},</v>
      </c>
      <c r="Z12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'260178326322','VOUCHER_Currency': 'PEN','VOUCHER_Amount': 100,'VOUCHER_Operacion_PSP': '4001848','VOUCHER_FECHA':'46038'},</v>
      </c>
    </row>
    <row r="125" spans="1:26" x14ac:dyDescent="0.25">
      <c r="A125" s="1" t="s">
        <v>39</v>
      </c>
      <c r="B125" s="1" t="s">
        <v>40</v>
      </c>
      <c r="C125" s="1" t="s">
        <v>64</v>
      </c>
      <c r="D125" s="12">
        <v>46038</v>
      </c>
      <c r="E125" s="12" t="str">
        <f>+TEXT(Tabla1[[#This Row],[fecha_revision]],"mmmm")</f>
        <v>Enero</v>
      </c>
      <c r="F125" s="3" t="s">
        <v>295</v>
      </c>
      <c r="G125" s="1" t="str">
        <f t="shared" si="7"/>
        <v>'260178251769',</v>
      </c>
      <c r="H125" s="1" t="s">
        <v>54</v>
      </c>
      <c r="I125" s="1" t="s">
        <v>296</v>
      </c>
      <c r="J125" s="1" t="str">
        <f t="shared" si="8"/>
        <v>'inv_evvWpk99XERpXvPkU6FYsG',</v>
      </c>
      <c r="K125" s="1" t="s">
        <v>10</v>
      </c>
      <c r="L125" s="1">
        <v>228.36</v>
      </c>
      <c r="M125" s="1">
        <v>228.36</v>
      </c>
      <c r="N125" s="1">
        <f t="shared" si="9"/>
        <v>0</v>
      </c>
      <c r="O125" s="1" t="s">
        <v>30</v>
      </c>
      <c r="P125" s="4" t="s">
        <v>163</v>
      </c>
      <c r="Q125" s="13">
        <v>4001693</v>
      </c>
      <c r="R125" s="12">
        <v>46038</v>
      </c>
      <c r="S125" s="4" t="s">
        <v>32</v>
      </c>
      <c r="T125" s="5"/>
      <c r="U125" s="1"/>
      <c r="V125" s="1"/>
      <c r="W125" s="1"/>
      <c r="X125" s="1"/>
      <c r="Y12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'260178251769','VOUCHER_Currency': 'PEN','VOUCHER_Amount': 228.36,'VOUCHER_Operacion_PSP': '4001693','VOUCHER_FECHA':'46038'},</v>
      </c>
      <c r="Z12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'260178251769','VOUCHER_Currency': 'PEN','VOUCHER_Amount': 228.36,'VOUCHER_Operacion_PSP': '4001693','VOUCHER_FECHA':'46038'},</v>
      </c>
    </row>
    <row r="126" spans="1:26" x14ac:dyDescent="0.25">
      <c r="A126" s="1" t="s">
        <v>39</v>
      </c>
      <c r="B126" s="1" t="s">
        <v>40</v>
      </c>
      <c r="C126" s="1" t="s">
        <v>222</v>
      </c>
      <c r="D126" s="12">
        <v>46038</v>
      </c>
      <c r="E126" s="12" t="str">
        <f>+TEXT(Tabla1[[#This Row],[fecha_revision]],"mmmm")</f>
        <v>Enero</v>
      </c>
      <c r="F126" s="3" t="s">
        <v>297</v>
      </c>
      <c r="G126" s="1" t="str">
        <f t="shared" si="7"/>
        <v>'260178320558',</v>
      </c>
      <c r="H126" s="1" t="s">
        <v>54</v>
      </c>
      <c r="I126" s="1" t="s">
        <v>298</v>
      </c>
      <c r="J126" s="1" t="str">
        <f t="shared" si="8"/>
        <v>'inv_JJSj2DFHaEDWUdp7Pay4Pk',</v>
      </c>
      <c r="K126" s="1" t="s">
        <v>10</v>
      </c>
      <c r="L126" s="1">
        <v>400</v>
      </c>
      <c r="M126" s="1">
        <v>400</v>
      </c>
      <c r="N126" s="1">
        <f t="shared" si="9"/>
        <v>0</v>
      </c>
      <c r="O126" s="1" t="s">
        <v>30</v>
      </c>
      <c r="P126" s="4" t="s">
        <v>163</v>
      </c>
      <c r="Q126" s="13">
        <v>4001835</v>
      </c>
      <c r="R126" s="12">
        <v>46038</v>
      </c>
      <c r="S126" s="4" t="s">
        <v>32</v>
      </c>
      <c r="T126" s="5"/>
      <c r="U126" s="1"/>
      <c r="V126" s="1"/>
      <c r="W126" s="1"/>
      <c r="X126" s="1"/>
      <c r="Y12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'260178320558','VOUCHER_Currency': 'PEN','VOUCHER_Amount': 400,'VOUCHER_Operacion_PSP': '4001835','VOUCHER_FECHA':'46038'},</v>
      </c>
      <c r="Z12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'260178320558','VOUCHER_Currency': 'PEN','VOUCHER_Amount': 400,'VOUCHER_Operacion_PSP': '4001835','VOUCHER_FECHA':'46038'},</v>
      </c>
    </row>
    <row r="127" spans="1:26" x14ac:dyDescent="0.25">
      <c r="A127" s="1" t="s">
        <v>39</v>
      </c>
      <c r="B127" s="1" t="s">
        <v>40</v>
      </c>
      <c r="C127" s="1" t="s">
        <v>27</v>
      </c>
      <c r="D127" s="12">
        <v>46038</v>
      </c>
      <c r="E127" s="12" t="str">
        <f>+TEXT(Tabla1[[#This Row],[fecha_revision]],"mmmm")</f>
        <v>Enero</v>
      </c>
      <c r="F127" s="3" t="s">
        <v>299</v>
      </c>
      <c r="G127" s="1" t="str">
        <f t="shared" si="7"/>
        <v>'260178320428',</v>
      </c>
      <c r="H127" s="1" t="s">
        <v>54</v>
      </c>
      <c r="I127" s="1" t="s">
        <v>300</v>
      </c>
      <c r="J127" s="1" t="str">
        <f t="shared" si="8"/>
        <v>'inv_c966p8K2VQ7LjUC66rYP8V',</v>
      </c>
      <c r="K127" s="1" t="s">
        <v>10</v>
      </c>
      <c r="L127" s="1">
        <v>1000</v>
      </c>
      <c r="M127" s="1">
        <v>1000</v>
      </c>
      <c r="N127" s="1">
        <f t="shared" si="9"/>
        <v>0</v>
      </c>
      <c r="O127" s="1" t="s">
        <v>30</v>
      </c>
      <c r="P127" s="4" t="s">
        <v>163</v>
      </c>
      <c r="Q127" s="13">
        <v>4001837</v>
      </c>
      <c r="R127" s="12">
        <v>46038</v>
      </c>
      <c r="S127" s="4" t="s">
        <v>32</v>
      </c>
      <c r="T127" s="5"/>
      <c r="U127" s="1"/>
      <c r="V127" s="1"/>
      <c r="W127" s="1"/>
      <c r="X127" s="1"/>
      <c r="Y12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'260178320428','VOUCHER_Currency': 'PEN','VOUCHER_Amount': 1000,'VOUCHER_Operacion_PSP': '4001837','VOUCHER_FECHA':'46038'},</v>
      </c>
      <c r="Z12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'260178320428','VOUCHER_Currency': 'PEN','VOUCHER_Amount': 1000,'VOUCHER_Operacion_PSP': '4001837','VOUCHER_FECHA':'46038'},</v>
      </c>
    </row>
    <row r="128" spans="1:26" x14ac:dyDescent="0.25">
      <c r="A128" s="1" t="s">
        <v>39</v>
      </c>
      <c r="B128" s="1" t="s">
        <v>40</v>
      </c>
      <c r="C128" s="1" t="s">
        <v>94</v>
      </c>
      <c r="D128" s="12">
        <v>46038</v>
      </c>
      <c r="E128" s="12" t="str">
        <f>+TEXT(Tabla1[[#This Row],[fecha_revision]],"mmmm")</f>
        <v>Enero</v>
      </c>
      <c r="F128" s="3" t="s">
        <v>301</v>
      </c>
      <c r="G128" s="1" t="str">
        <f t="shared" si="7"/>
        <v>'260178262617',</v>
      </c>
      <c r="H128" s="1" t="s">
        <v>54</v>
      </c>
      <c r="I128" s="1" t="s">
        <v>302</v>
      </c>
      <c r="J128" s="1" t="str">
        <f t="shared" si="8"/>
        <v>'inv_buk3VLJat7QUseD4TCeYUq',</v>
      </c>
      <c r="K128" s="1" t="s">
        <v>10</v>
      </c>
      <c r="L128" s="1">
        <v>1000</v>
      </c>
      <c r="M128" s="1">
        <v>1000</v>
      </c>
      <c r="N128" s="1">
        <f t="shared" si="9"/>
        <v>0</v>
      </c>
      <c r="O128" s="1" t="s">
        <v>30</v>
      </c>
      <c r="P128" s="4" t="s">
        <v>163</v>
      </c>
      <c r="Q128" s="13">
        <v>4001708</v>
      </c>
      <c r="R128" s="12">
        <v>46038</v>
      </c>
      <c r="S128" s="4" t="s">
        <v>32</v>
      </c>
      <c r="T128" s="5"/>
      <c r="U128" s="1"/>
      <c r="V128" s="1"/>
      <c r="W128" s="1"/>
      <c r="X128" s="1"/>
      <c r="Y12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'260178262617','VOUCHER_Currency': 'PEN','VOUCHER_Amount': 1000,'VOUCHER_Operacion_PSP': '4001708','VOUCHER_FECHA':'46038'},</v>
      </c>
      <c r="Z12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'260178262617','VOUCHER_Currency': 'PEN','VOUCHER_Amount': 1000,'VOUCHER_Operacion_PSP': '4001708','VOUCHER_FECHA':'46038'},</v>
      </c>
    </row>
    <row r="129" spans="1:26" x14ac:dyDescent="0.25">
      <c r="A129" s="1" t="s">
        <v>39</v>
      </c>
      <c r="B129" s="1" t="s">
        <v>40</v>
      </c>
      <c r="C129" s="1" t="s">
        <v>62</v>
      </c>
      <c r="D129" s="12">
        <v>46039</v>
      </c>
      <c r="E129" s="12" t="str">
        <f>+TEXT(Tabla1[[#This Row],[fecha_revision]],"mmmm")</f>
        <v>Enero</v>
      </c>
      <c r="F129" s="3" t="s">
        <v>303</v>
      </c>
      <c r="G129" s="1" t="str">
        <f t="shared" ref="G129:G158" si="11">CONCATENATE("'",F129,"',")</f>
        <v>'260178356321',</v>
      </c>
      <c r="H129" s="1" t="s">
        <v>54</v>
      </c>
      <c r="I129" s="1" t="s">
        <v>304</v>
      </c>
      <c r="J129" s="1" t="str">
        <f t="shared" ref="J129:J158" si="12">CONCATENATE("'",I129,"',")</f>
        <v>'inv_cVhmJZPw3Rr57ZouqmGK7X',</v>
      </c>
      <c r="K129" s="1" t="s">
        <v>10</v>
      </c>
      <c r="L129" s="1">
        <v>3.4</v>
      </c>
      <c r="M129" s="1">
        <v>3.4</v>
      </c>
      <c r="N129" s="1">
        <f t="shared" ref="N129:N146" si="13">+L129-M129</f>
        <v>0</v>
      </c>
      <c r="O129" s="1" t="s">
        <v>30</v>
      </c>
      <c r="P129" s="4" t="s">
        <v>163</v>
      </c>
      <c r="Q129" s="13">
        <v>4001914</v>
      </c>
      <c r="R129" s="12">
        <v>46039</v>
      </c>
      <c r="S129" s="4" t="s">
        <v>32</v>
      </c>
      <c r="T129" s="5"/>
      <c r="U129" s="1"/>
      <c r="V129" s="1"/>
      <c r="W129" s="1"/>
      <c r="X129" s="1"/>
      <c r="Y12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'260178356321','VOUCHER_Currency': 'PEN','VOUCHER_Amount': 3.4,'VOUCHER_Operacion_PSP': '4001914','VOUCHER_FECHA':'46039'},</v>
      </c>
      <c r="Z12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'260178356321','VOUCHER_Currency': 'PEN','VOUCHER_Amount': 3.4,'VOUCHER_Operacion_PSP': '4001914','VOUCHER_FECHA':'46039'},</v>
      </c>
    </row>
    <row r="130" spans="1:26" x14ac:dyDescent="0.25">
      <c r="A130" s="1" t="s">
        <v>39</v>
      </c>
      <c r="B130" s="1" t="s">
        <v>40</v>
      </c>
      <c r="C130" s="1" t="s">
        <v>33</v>
      </c>
      <c r="D130" s="12">
        <v>46039</v>
      </c>
      <c r="E130" s="12" t="str">
        <f>+TEXT(Tabla1[[#This Row],[fecha_revision]],"mmmm")</f>
        <v>Enero</v>
      </c>
      <c r="F130" s="3" t="s">
        <v>305</v>
      </c>
      <c r="G130" s="1" t="str">
        <f t="shared" si="11"/>
        <v>'260178332873',</v>
      </c>
      <c r="H130" s="1" t="s">
        <v>54</v>
      </c>
      <c r="I130" s="1" t="s">
        <v>306</v>
      </c>
      <c r="J130" s="1" t="str">
        <f t="shared" si="12"/>
        <v>'inv_8VZqw6Kej9eyzsiAswjbKa',</v>
      </c>
      <c r="K130" s="1" t="s">
        <v>10</v>
      </c>
      <c r="L130" s="1">
        <v>20</v>
      </c>
      <c r="M130" s="1">
        <v>20</v>
      </c>
      <c r="N130" s="1">
        <f t="shared" si="13"/>
        <v>0</v>
      </c>
      <c r="O130" s="1" t="s">
        <v>30</v>
      </c>
      <c r="P130" s="4" t="s">
        <v>163</v>
      </c>
      <c r="Q130" s="13">
        <v>4001879</v>
      </c>
      <c r="R130" s="12">
        <v>46039</v>
      </c>
      <c r="S130" s="4" t="s">
        <v>32</v>
      </c>
      <c r="T130" s="5"/>
      <c r="U130" s="1"/>
      <c r="V130" s="1"/>
      <c r="W130" s="1"/>
      <c r="X130" s="1"/>
      <c r="Y13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'260178332873','VOUCHER_Currency': 'PEN','VOUCHER_Amount': 20,'VOUCHER_Operacion_PSP': '4001879','VOUCHER_FECHA':'46039'},</v>
      </c>
      <c r="Z13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'260178332873','VOUCHER_Currency': 'PEN','VOUCHER_Amount': 20,'VOUCHER_Operacion_PSP': '4001879','VOUCHER_FECHA':'46039'},</v>
      </c>
    </row>
    <row r="131" spans="1:26" x14ac:dyDescent="0.25">
      <c r="A131" s="1" t="s">
        <v>39</v>
      </c>
      <c r="B131" s="1" t="s">
        <v>40</v>
      </c>
      <c r="C131" s="1" t="s">
        <v>33</v>
      </c>
      <c r="D131" s="12">
        <v>46039</v>
      </c>
      <c r="E131" s="12" t="str">
        <f>+TEXT(Tabla1[[#This Row],[fecha_revision]],"mmmm")</f>
        <v>Enero</v>
      </c>
      <c r="F131" s="3" t="s">
        <v>307</v>
      </c>
      <c r="G131" s="1" t="str">
        <f t="shared" si="11"/>
        <v>'260178342759',</v>
      </c>
      <c r="H131" s="1" t="s">
        <v>54</v>
      </c>
      <c r="I131" s="1" t="s">
        <v>308</v>
      </c>
      <c r="J131" s="1" t="str">
        <f t="shared" si="12"/>
        <v>'inv_FjWyDmoeYFEwyXLttSnBbF',</v>
      </c>
      <c r="K131" s="1" t="s">
        <v>10</v>
      </c>
      <c r="L131" s="1">
        <v>50</v>
      </c>
      <c r="M131" s="1">
        <v>50</v>
      </c>
      <c r="N131" s="1">
        <f t="shared" si="13"/>
        <v>0</v>
      </c>
      <c r="O131" s="1" t="s">
        <v>30</v>
      </c>
      <c r="P131" s="4" t="s">
        <v>163</v>
      </c>
      <c r="Q131" s="13">
        <v>4001930</v>
      </c>
      <c r="R131" s="12">
        <v>46039</v>
      </c>
      <c r="S131" s="4" t="s">
        <v>32</v>
      </c>
      <c r="T131" s="5"/>
      <c r="U131" s="1"/>
      <c r="V131" s="1"/>
      <c r="W131" s="1"/>
      <c r="X131" s="1"/>
      <c r="Y13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'260178342759','VOUCHER_Currency': 'PEN','VOUCHER_Amount': 50,'VOUCHER_Operacion_PSP': '4001930','VOUCHER_FECHA':'46039'},</v>
      </c>
      <c r="Z13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'260178342759','VOUCHER_Currency': 'PEN','VOUCHER_Amount': 50,'VOUCHER_Operacion_PSP': '4001930','VOUCHER_FECHA':'46039'},</v>
      </c>
    </row>
    <row r="132" spans="1:26" x14ac:dyDescent="0.25">
      <c r="A132" s="1" t="s">
        <v>39</v>
      </c>
      <c r="B132" s="1" t="s">
        <v>40</v>
      </c>
      <c r="C132" s="1" t="s">
        <v>33</v>
      </c>
      <c r="D132" s="12">
        <v>46039</v>
      </c>
      <c r="E132" s="12" t="str">
        <f>+TEXT(Tabla1[[#This Row],[fecha_revision]],"mmmm")</f>
        <v>Enero</v>
      </c>
      <c r="F132" s="3" t="s">
        <v>309</v>
      </c>
      <c r="G132" s="1" t="str">
        <f t="shared" si="11"/>
        <v>'260178354889',</v>
      </c>
      <c r="H132" s="1" t="s">
        <v>54</v>
      </c>
      <c r="I132" s="1" t="s">
        <v>310</v>
      </c>
      <c r="J132" s="1" t="str">
        <f t="shared" si="12"/>
        <v>'inv_dpxQEaBH8EKNX685WgQ7x5',</v>
      </c>
      <c r="K132" s="1" t="s">
        <v>10</v>
      </c>
      <c r="L132" s="1">
        <v>50</v>
      </c>
      <c r="M132" s="1">
        <v>50</v>
      </c>
      <c r="N132" s="1">
        <f t="shared" si="13"/>
        <v>0</v>
      </c>
      <c r="O132" s="1" t="s">
        <v>30</v>
      </c>
      <c r="P132" s="4" t="s">
        <v>163</v>
      </c>
      <c r="Q132" s="13">
        <v>4001922</v>
      </c>
      <c r="R132" s="12">
        <v>46039</v>
      </c>
      <c r="S132" s="4" t="s">
        <v>32</v>
      </c>
      <c r="T132" s="5"/>
      <c r="U132" s="1"/>
      <c r="V132" s="1"/>
      <c r="W132" s="1"/>
      <c r="X132" s="1"/>
      <c r="Y13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'260178354889','VOUCHER_Currency': 'PEN','VOUCHER_Amount': 50,'VOUCHER_Operacion_PSP': '4001922','VOUCHER_FECHA':'46039'},</v>
      </c>
      <c r="Z13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'260178354889','VOUCHER_Currency': 'PEN','VOUCHER_Amount': 50,'VOUCHER_Operacion_PSP': '4001922','VOUCHER_FECHA':'46039'},</v>
      </c>
    </row>
    <row r="133" spans="1:26" x14ac:dyDescent="0.25">
      <c r="A133" s="1" t="s">
        <v>39</v>
      </c>
      <c r="B133" s="1" t="s">
        <v>40</v>
      </c>
      <c r="C133" s="1" t="s">
        <v>33</v>
      </c>
      <c r="D133" s="12">
        <v>46039</v>
      </c>
      <c r="E133" s="12" t="str">
        <f>+TEXT(Tabla1[[#This Row],[fecha_revision]],"mmmm")</f>
        <v>Enero</v>
      </c>
      <c r="F133" s="3" t="s">
        <v>311</v>
      </c>
      <c r="G133" s="1" t="str">
        <f t="shared" si="11"/>
        <v>'260178357544',</v>
      </c>
      <c r="H133" s="1" t="s">
        <v>54</v>
      </c>
      <c r="I133" s="1" t="s">
        <v>312</v>
      </c>
      <c r="J133" s="1" t="str">
        <f t="shared" si="12"/>
        <v>'inv_SFqHktJhsW7KRGhEJSoLDF',</v>
      </c>
      <c r="K133" s="1" t="s">
        <v>10</v>
      </c>
      <c r="L133" s="1">
        <v>50</v>
      </c>
      <c r="M133" s="1">
        <v>50</v>
      </c>
      <c r="N133" s="1">
        <f t="shared" si="13"/>
        <v>0</v>
      </c>
      <c r="O133" s="1" t="s">
        <v>30</v>
      </c>
      <c r="P133" s="4" t="s">
        <v>163</v>
      </c>
      <c r="Q133" s="13">
        <v>4001912</v>
      </c>
      <c r="R133" s="12">
        <v>46039</v>
      </c>
      <c r="S133" s="4" t="s">
        <v>32</v>
      </c>
      <c r="T133" s="5"/>
      <c r="U133" s="1"/>
      <c r="V133" s="1"/>
      <c r="W133" s="1"/>
      <c r="X133" s="1"/>
      <c r="Y13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'260178357544','VOUCHER_Currency': 'PEN','VOUCHER_Amount': 50,'VOUCHER_Operacion_PSP': '4001912','VOUCHER_FECHA':'46039'},</v>
      </c>
      <c r="Z13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'260178357544','VOUCHER_Currency': 'PEN','VOUCHER_Amount': 50,'VOUCHER_Operacion_PSP': '4001912','VOUCHER_FECHA':'46039'},</v>
      </c>
    </row>
    <row r="134" spans="1:26" x14ac:dyDescent="0.25">
      <c r="A134" s="1" t="s">
        <v>39</v>
      </c>
      <c r="B134" s="1" t="s">
        <v>40</v>
      </c>
      <c r="C134" s="1" t="s">
        <v>94</v>
      </c>
      <c r="D134" s="12">
        <v>46039</v>
      </c>
      <c r="E134" s="12" t="str">
        <f>+TEXT(Tabla1[[#This Row],[fecha_revision]],"mmmm")</f>
        <v>Enero</v>
      </c>
      <c r="F134" s="3" t="s">
        <v>313</v>
      </c>
      <c r="G134" s="1" t="str">
        <f t="shared" si="11"/>
        <v>'260178365171',</v>
      </c>
      <c r="H134" s="1" t="s">
        <v>54</v>
      </c>
      <c r="I134" s="1" t="s">
        <v>314</v>
      </c>
      <c r="J134" s="1" t="str">
        <f t="shared" si="12"/>
        <v>'inv_csuhgvbsgPHsWaSMDc7yDM',</v>
      </c>
      <c r="K134" s="1" t="s">
        <v>10</v>
      </c>
      <c r="L134" s="1">
        <v>50</v>
      </c>
      <c r="M134" s="1">
        <v>50</v>
      </c>
      <c r="N134" s="1">
        <f t="shared" si="13"/>
        <v>0</v>
      </c>
      <c r="O134" s="1" t="s">
        <v>30</v>
      </c>
      <c r="P134" s="4" t="s">
        <v>163</v>
      </c>
      <c r="Q134" s="13">
        <v>4001906</v>
      </c>
      <c r="R134" s="12">
        <v>46039</v>
      </c>
      <c r="S134" s="4" t="s">
        <v>32</v>
      </c>
      <c r="T134" s="5"/>
      <c r="U134" s="1"/>
      <c r="V134" s="1"/>
      <c r="W134" s="1"/>
      <c r="X134" s="1"/>
      <c r="Y13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'260178365171','VOUCHER_Currency': 'PEN','VOUCHER_Amount': 50,'VOUCHER_Operacion_PSP': '4001906','VOUCHER_FECHA':'46039'},</v>
      </c>
      <c r="Z13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'260178365171','VOUCHER_Currency': 'PEN','VOUCHER_Amount': 50,'VOUCHER_Operacion_PSP': '4001906','VOUCHER_FECHA':'46039'},</v>
      </c>
    </row>
    <row r="135" spans="1:26" x14ac:dyDescent="0.25">
      <c r="A135" s="1" t="s">
        <v>39</v>
      </c>
      <c r="B135" s="1" t="s">
        <v>40</v>
      </c>
      <c r="C135" s="1" t="s">
        <v>27</v>
      </c>
      <c r="D135" s="12">
        <v>46039</v>
      </c>
      <c r="E135" s="12" t="str">
        <f>+TEXT(Tabla1[[#This Row],[fecha_revision]],"mmmm")</f>
        <v>Enero</v>
      </c>
      <c r="F135" s="3" t="s">
        <v>315</v>
      </c>
      <c r="G135" s="1" t="str">
        <f t="shared" si="11"/>
        <v>'260178370681',</v>
      </c>
      <c r="H135" s="1" t="s">
        <v>54</v>
      </c>
      <c r="I135" s="1" t="s">
        <v>316</v>
      </c>
      <c r="J135" s="1" t="str">
        <f t="shared" si="12"/>
        <v>'inv_K6VoFEEVDyeDjDtEpvFc39',</v>
      </c>
      <c r="K135" s="1" t="s">
        <v>10</v>
      </c>
      <c r="L135" s="1">
        <v>50</v>
      </c>
      <c r="M135" s="1">
        <v>50</v>
      </c>
      <c r="N135" s="1">
        <f t="shared" si="13"/>
        <v>0</v>
      </c>
      <c r="O135" s="1" t="s">
        <v>30</v>
      </c>
      <c r="P135" s="4" t="s">
        <v>163</v>
      </c>
      <c r="Q135" s="13">
        <v>4001881</v>
      </c>
      <c r="R135" s="12">
        <v>46039</v>
      </c>
      <c r="S135" s="4" t="s">
        <v>32</v>
      </c>
      <c r="T135" s="5"/>
      <c r="U135" s="1"/>
      <c r="V135" s="1"/>
      <c r="W135" s="1"/>
      <c r="X135" s="1"/>
      <c r="Y13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'260178370681','VOUCHER_Currency': 'PEN','VOUCHER_Amount': 50,'VOUCHER_Operacion_PSP': '4001881','VOUCHER_FECHA':'46039'},</v>
      </c>
      <c r="Z13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'260178370681','VOUCHER_Currency': 'PEN','VOUCHER_Amount': 50,'VOUCHER_Operacion_PSP': '4001881','VOUCHER_FECHA':'46039'},</v>
      </c>
    </row>
    <row r="136" spans="1:26" x14ac:dyDescent="0.25">
      <c r="A136" s="1" t="s">
        <v>39</v>
      </c>
      <c r="B136" s="1" t="s">
        <v>40</v>
      </c>
      <c r="C136" s="1" t="s">
        <v>27</v>
      </c>
      <c r="D136" s="12">
        <v>46039</v>
      </c>
      <c r="E136" s="12" t="str">
        <f>+TEXT(Tabla1[[#This Row],[fecha_revision]],"mmmm")</f>
        <v>Enero</v>
      </c>
      <c r="F136" s="3" t="s">
        <v>317</v>
      </c>
      <c r="G136" s="1" t="str">
        <f t="shared" si="11"/>
        <v>'260178337476',</v>
      </c>
      <c r="H136" s="1" t="s">
        <v>54</v>
      </c>
      <c r="I136" s="1" t="s">
        <v>318</v>
      </c>
      <c r="J136" s="1" t="str">
        <f t="shared" si="12"/>
        <v>'inv_2HCCTR8FpbGLPp7sHycxBT',</v>
      </c>
      <c r="K136" s="1" t="s">
        <v>10</v>
      </c>
      <c r="L136" s="1">
        <v>100</v>
      </c>
      <c r="M136" s="1">
        <v>100</v>
      </c>
      <c r="N136" s="1">
        <f t="shared" si="13"/>
        <v>0</v>
      </c>
      <c r="O136" s="1" t="s">
        <v>30</v>
      </c>
      <c r="P136" s="4" t="s">
        <v>163</v>
      </c>
      <c r="Q136" s="13">
        <v>4001908</v>
      </c>
      <c r="R136" s="12">
        <v>46039</v>
      </c>
      <c r="S136" s="4" t="s">
        <v>32</v>
      </c>
      <c r="T136" s="5"/>
      <c r="U136" s="1"/>
      <c r="V136" s="1"/>
      <c r="W136" s="1"/>
      <c r="X136" s="1"/>
      <c r="Y13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'260178337476','VOUCHER_Currency': 'PEN','VOUCHER_Amount': 100,'VOUCHER_Operacion_PSP': '4001908','VOUCHER_FECHA':'46039'},</v>
      </c>
      <c r="Z13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'260178337476','VOUCHER_Currency': 'PEN','VOUCHER_Amount': 100,'VOUCHER_Operacion_PSP': '4001908','VOUCHER_FECHA':'46039'},</v>
      </c>
    </row>
    <row r="137" spans="1:26" x14ac:dyDescent="0.25">
      <c r="A137" s="1" t="s">
        <v>39</v>
      </c>
      <c r="B137" s="1" t="s">
        <v>40</v>
      </c>
      <c r="C137" s="1" t="s">
        <v>27</v>
      </c>
      <c r="D137" s="12">
        <v>46039</v>
      </c>
      <c r="E137" s="12" t="str">
        <f>+TEXT(Tabla1[[#This Row],[fecha_revision]],"mmmm")</f>
        <v>Enero</v>
      </c>
      <c r="F137" s="3" t="s">
        <v>319</v>
      </c>
      <c r="G137" s="1" t="str">
        <f t="shared" si="11"/>
        <v>'260178340766',</v>
      </c>
      <c r="H137" s="1" t="s">
        <v>54</v>
      </c>
      <c r="I137" s="1" t="s">
        <v>320</v>
      </c>
      <c r="J137" s="1" t="str">
        <f t="shared" si="12"/>
        <v>'inv_G5kUidTbrncVcT5Et7kHmj',</v>
      </c>
      <c r="K137" s="1" t="s">
        <v>10</v>
      </c>
      <c r="L137" s="1">
        <v>100</v>
      </c>
      <c r="M137" s="1">
        <v>100</v>
      </c>
      <c r="N137" s="1">
        <f t="shared" si="13"/>
        <v>0</v>
      </c>
      <c r="O137" s="1" t="s">
        <v>30</v>
      </c>
      <c r="P137" s="4" t="s">
        <v>163</v>
      </c>
      <c r="Q137" s="13">
        <v>4001891</v>
      </c>
      <c r="R137" s="12">
        <v>46039</v>
      </c>
      <c r="S137" s="4" t="s">
        <v>32</v>
      </c>
      <c r="T137" s="5"/>
      <c r="U137" s="1"/>
      <c r="V137" s="1"/>
      <c r="W137" s="1"/>
      <c r="X137" s="1"/>
      <c r="Y13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'260178340766','VOUCHER_Currency': 'PEN','VOUCHER_Amount': 100,'VOUCHER_Operacion_PSP': '4001891','VOUCHER_FECHA':'46039'},</v>
      </c>
      <c r="Z13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'260178340766','VOUCHER_Currency': 'PEN','VOUCHER_Amount': 100,'VOUCHER_Operacion_PSP': '4001891','VOUCHER_FECHA':'46039'},</v>
      </c>
    </row>
    <row r="138" spans="1:26" x14ac:dyDescent="0.25">
      <c r="A138" s="1" t="s">
        <v>39</v>
      </c>
      <c r="B138" s="1" t="s">
        <v>40</v>
      </c>
      <c r="C138" s="1" t="s">
        <v>33</v>
      </c>
      <c r="D138" s="12">
        <v>46039</v>
      </c>
      <c r="E138" s="12" t="str">
        <f>+TEXT(Tabla1[[#This Row],[fecha_revision]],"mmmm")</f>
        <v>Enero</v>
      </c>
      <c r="F138" s="3" t="s">
        <v>321</v>
      </c>
      <c r="G138" s="1" t="str">
        <f t="shared" si="11"/>
        <v>'260178347212',</v>
      </c>
      <c r="H138" s="1" t="s">
        <v>54</v>
      </c>
      <c r="I138" s="1" t="s">
        <v>322</v>
      </c>
      <c r="J138" s="1" t="str">
        <f t="shared" si="12"/>
        <v>'inv_MexnmLsbofsqzKmeGGTmzS',</v>
      </c>
      <c r="K138" s="1" t="s">
        <v>10</v>
      </c>
      <c r="L138" s="1">
        <v>100</v>
      </c>
      <c r="M138" s="1">
        <v>100</v>
      </c>
      <c r="N138" s="1">
        <f t="shared" si="13"/>
        <v>0</v>
      </c>
      <c r="O138" s="1" t="s">
        <v>30</v>
      </c>
      <c r="P138" s="4" t="s">
        <v>163</v>
      </c>
      <c r="Q138" s="13">
        <v>4001885</v>
      </c>
      <c r="R138" s="12">
        <v>46039</v>
      </c>
      <c r="S138" s="4" t="s">
        <v>32</v>
      </c>
      <c r="T138" s="5"/>
      <c r="U138" s="1"/>
      <c r="V138" s="1"/>
      <c r="W138" s="1"/>
      <c r="X138" s="1"/>
      <c r="Y13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'260178347212','VOUCHER_Currency': 'PEN','VOUCHER_Amount': 100,'VOUCHER_Operacion_PSP': '4001885','VOUCHER_FECHA':'46039'},</v>
      </c>
      <c r="Z13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'260178347212','VOUCHER_Currency': 'PEN','VOUCHER_Amount': 100,'VOUCHER_Operacion_PSP': '4001885','VOUCHER_FECHA':'46039'},</v>
      </c>
    </row>
    <row r="139" spans="1:26" x14ac:dyDescent="0.25">
      <c r="A139" s="1" t="s">
        <v>39</v>
      </c>
      <c r="B139" s="1" t="s">
        <v>40</v>
      </c>
      <c r="C139" s="1" t="s">
        <v>27</v>
      </c>
      <c r="D139" s="12">
        <v>46039</v>
      </c>
      <c r="E139" s="12" t="str">
        <f>+TEXT(Tabla1[[#This Row],[fecha_revision]],"mmmm")</f>
        <v>Enero</v>
      </c>
      <c r="F139" s="3" t="s">
        <v>323</v>
      </c>
      <c r="G139" s="1" t="str">
        <f t="shared" si="11"/>
        <v>'260178349273',</v>
      </c>
      <c r="H139" s="1" t="s">
        <v>54</v>
      </c>
      <c r="I139" s="1" t="s">
        <v>324</v>
      </c>
      <c r="J139" s="1" t="str">
        <f t="shared" si="12"/>
        <v>'inv_jRUGBjzsoMEvU65fUFy5Fz',</v>
      </c>
      <c r="K139" s="1" t="s">
        <v>10</v>
      </c>
      <c r="L139" s="1">
        <v>100</v>
      </c>
      <c r="M139" s="1">
        <v>100</v>
      </c>
      <c r="N139" s="1">
        <f t="shared" si="13"/>
        <v>0</v>
      </c>
      <c r="O139" s="1" t="s">
        <v>30</v>
      </c>
      <c r="P139" s="4" t="s">
        <v>163</v>
      </c>
      <c r="Q139" s="13">
        <v>4001869</v>
      </c>
      <c r="R139" s="12">
        <v>46039</v>
      </c>
      <c r="S139" s="4" t="s">
        <v>32</v>
      </c>
      <c r="T139" s="5"/>
      <c r="U139" s="1"/>
      <c r="V139" s="1"/>
      <c r="W139" s="1"/>
      <c r="X139" s="1"/>
      <c r="Y13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'260178349273','VOUCHER_Currency': 'PEN','VOUCHER_Amount': 100,'VOUCHER_Operacion_PSP': '4001869','VOUCHER_FECHA':'46039'},</v>
      </c>
      <c r="Z13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'260178349273','VOUCHER_Currency': 'PEN','VOUCHER_Amount': 100,'VOUCHER_Operacion_PSP': '4001869','VOUCHER_FECHA':'46039'},</v>
      </c>
    </row>
    <row r="140" spans="1:26" x14ac:dyDescent="0.25">
      <c r="A140" s="1" t="s">
        <v>39</v>
      </c>
      <c r="B140" s="1" t="s">
        <v>40</v>
      </c>
      <c r="C140" s="1" t="s">
        <v>33</v>
      </c>
      <c r="D140" s="12">
        <v>46039</v>
      </c>
      <c r="E140" s="12" t="str">
        <f>+TEXT(Tabla1[[#This Row],[fecha_revision]],"mmmm")</f>
        <v>Enero</v>
      </c>
      <c r="F140" s="3" t="s">
        <v>325</v>
      </c>
      <c r="G140" s="1" t="str">
        <f t="shared" si="11"/>
        <v>'260178356767',</v>
      </c>
      <c r="H140" s="1" t="s">
        <v>54</v>
      </c>
      <c r="I140" s="1" t="s">
        <v>326</v>
      </c>
      <c r="J140" s="1" t="str">
        <f t="shared" si="12"/>
        <v>'inv_i58U8bJAoMkoTKCDGrk3WP',</v>
      </c>
      <c r="K140" s="1" t="s">
        <v>10</v>
      </c>
      <c r="L140" s="1">
        <v>100</v>
      </c>
      <c r="M140" s="1">
        <v>100</v>
      </c>
      <c r="N140" s="1">
        <f t="shared" si="13"/>
        <v>0</v>
      </c>
      <c r="O140" s="1" t="s">
        <v>30</v>
      </c>
      <c r="P140" s="4" t="s">
        <v>163</v>
      </c>
      <c r="Q140" s="13">
        <v>4001867</v>
      </c>
      <c r="R140" s="12">
        <v>46039</v>
      </c>
      <c r="S140" s="4" t="s">
        <v>32</v>
      </c>
      <c r="T140" s="5"/>
      <c r="U140" s="1"/>
      <c r="V140" s="1"/>
      <c r="W140" s="1"/>
      <c r="X140" s="1"/>
      <c r="Y14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'260178356767','VOUCHER_Currency': 'PEN','VOUCHER_Amount': 100,'VOUCHER_Operacion_PSP': '4001867','VOUCHER_FECHA':'46039'},</v>
      </c>
      <c r="Z14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'260178356767','VOUCHER_Currency': 'PEN','VOUCHER_Amount': 100,'VOUCHER_Operacion_PSP': '4001867','VOUCHER_FECHA':'46039'},</v>
      </c>
    </row>
    <row r="141" spans="1:26" x14ac:dyDescent="0.25">
      <c r="A141" s="1" t="s">
        <v>39</v>
      </c>
      <c r="B141" s="1" t="s">
        <v>40</v>
      </c>
      <c r="C141" s="1" t="s">
        <v>33</v>
      </c>
      <c r="D141" s="12">
        <v>46039</v>
      </c>
      <c r="E141" s="12" t="str">
        <f>+TEXT(Tabla1[[#This Row],[fecha_revision]],"mmmm")</f>
        <v>Enero</v>
      </c>
      <c r="F141" s="3" t="s">
        <v>327</v>
      </c>
      <c r="G141" s="1" t="str">
        <f t="shared" si="11"/>
        <v>'260178351799',</v>
      </c>
      <c r="H141" s="1" t="s">
        <v>54</v>
      </c>
      <c r="I141" s="1" t="s">
        <v>328</v>
      </c>
      <c r="J141" s="1" t="str">
        <f t="shared" si="12"/>
        <v>'inv_B2WWBUPsgf9TGrNsWNTDwf',</v>
      </c>
      <c r="K141" s="1" t="s">
        <v>10</v>
      </c>
      <c r="L141" s="1">
        <v>120</v>
      </c>
      <c r="M141" s="1">
        <v>120</v>
      </c>
      <c r="N141" s="1">
        <f t="shared" si="13"/>
        <v>0</v>
      </c>
      <c r="O141" s="1" t="s">
        <v>30</v>
      </c>
      <c r="P141" s="4" t="s">
        <v>163</v>
      </c>
      <c r="Q141" s="13">
        <v>4001904</v>
      </c>
      <c r="R141" s="12">
        <v>46039</v>
      </c>
      <c r="S141" s="4" t="s">
        <v>32</v>
      </c>
      <c r="T141" s="5"/>
      <c r="U141" s="1"/>
      <c r="V141" s="1"/>
      <c r="W141" s="1"/>
      <c r="X141" s="1"/>
      <c r="Y14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'260178351799','VOUCHER_Currency': 'PEN','VOUCHER_Amount': 120,'VOUCHER_Operacion_PSP': '4001904','VOUCHER_FECHA':'46039'},</v>
      </c>
      <c r="Z14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'260178351799','VOUCHER_Currency': 'PEN','VOUCHER_Amount': 120,'VOUCHER_Operacion_PSP': '4001904','VOUCHER_FECHA':'46039'},</v>
      </c>
    </row>
    <row r="142" spans="1:26" x14ac:dyDescent="0.25">
      <c r="A142" s="1" t="s">
        <v>39</v>
      </c>
      <c r="B142" s="1" t="s">
        <v>40</v>
      </c>
      <c r="C142" s="1" t="s">
        <v>33</v>
      </c>
      <c r="D142" s="12">
        <v>46039</v>
      </c>
      <c r="E142" s="12" t="str">
        <f>+TEXT(Tabla1[[#This Row],[fecha_revision]],"mmmm")</f>
        <v>Enero</v>
      </c>
      <c r="F142" s="3" t="s">
        <v>329</v>
      </c>
      <c r="G142" s="1" t="str">
        <f t="shared" si="11"/>
        <v>'260178369042',</v>
      </c>
      <c r="H142" s="1" t="s">
        <v>54</v>
      </c>
      <c r="I142" s="1" t="s">
        <v>330</v>
      </c>
      <c r="J142" s="1" t="str">
        <f t="shared" si="12"/>
        <v>'inv_99Nfjk2WgpaZpv8LKukkw5',</v>
      </c>
      <c r="K142" s="1" t="s">
        <v>10</v>
      </c>
      <c r="L142" s="1">
        <v>200</v>
      </c>
      <c r="M142" s="1">
        <v>200</v>
      </c>
      <c r="N142" s="1">
        <f t="shared" si="13"/>
        <v>0</v>
      </c>
      <c r="O142" s="1" t="s">
        <v>30</v>
      </c>
      <c r="P142" s="4" t="s">
        <v>163</v>
      </c>
      <c r="Q142" s="13">
        <v>4001926</v>
      </c>
      <c r="R142" s="12">
        <v>46039</v>
      </c>
      <c r="S142" s="4" t="s">
        <v>32</v>
      </c>
      <c r="T142" s="5"/>
      <c r="U142" s="1"/>
      <c r="V142" s="1"/>
      <c r="W142" s="1"/>
      <c r="X142" s="1"/>
      <c r="Y14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'260178369042','VOUCHER_Currency': 'PEN','VOUCHER_Amount': 200,'VOUCHER_Operacion_PSP': '4001926','VOUCHER_FECHA':'46039'},</v>
      </c>
      <c r="Z14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'260178369042','VOUCHER_Currency': 'PEN','VOUCHER_Amount': 200,'VOUCHER_Operacion_PSP': '4001926','VOUCHER_FECHA':'46039'},</v>
      </c>
    </row>
    <row r="143" spans="1:26" x14ac:dyDescent="0.25">
      <c r="A143" s="1" t="s">
        <v>39</v>
      </c>
      <c r="B143" s="1" t="s">
        <v>40</v>
      </c>
      <c r="C143" s="1" t="s">
        <v>33</v>
      </c>
      <c r="D143" s="12">
        <v>46039</v>
      </c>
      <c r="E143" s="12" t="str">
        <f>+TEXT(Tabla1[[#This Row],[fecha_revision]],"mmmm")</f>
        <v>Enero</v>
      </c>
      <c r="F143" s="3" t="s">
        <v>331</v>
      </c>
      <c r="G143" s="1" t="str">
        <f t="shared" si="11"/>
        <v>'260178352787',</v>
      </c>
      <c r="H143" s="1" t="s">
        <v>54</v>
      </c>
      <c r="I143" s="1" t="s">
        <v>332</v>
      </c>
      <c r="J143" s="1" t="str">
        <f t="shared" si="12"/>
        <v>'inv_TctwomtxBRJguM7UWZa6KS',</v>
      </c>
      <c r="K143" s="1" t="s">
        <v>10</v>
      </c>
      <c r="L143" s="1">
        <v>300</v>
      </c>
      <c r="M143" s="1">
        <v>300</v>
      </c>
      <c r="N143" s="1">
        <f t="shared" si="13"/>
        <v>0</v>
      </c>
      <c r="O143" s="1" t="s">
        <v>30</v>
      </c>
      <c r="P143" s="4" t="s">
        <v>163</v>
      </c>
      <c r="Q143" s="13">
        <v>4001898</v>
      </c>
      <c r="R143" s="12">
        <v>46039</v>
      </c>
      <c r="S143" s="4" t="s">
        <v>32</v>
      </c>
      <c r="T143" s="5"/>
      <c r="U143" s="1"/>
      <c r="V143" s="1"/>
      <c r="W143" s="1"/>
      <c r="X143" s="1"/>
      <c r="Y14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'260178352787','VOUCHER_Currency': 'PEN','VOUCHER_Amount': 300,'VOUCHER_Operacion_PSP': '4001898','VOUCHER_FECHA':'46039'},</v>
      </c>
      <c r="Z14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'260178352787','VOUCHER_Currency': 'PEN','VOUCHER_Amount': 300,'VOUCHER_Operacion_PSP': '4001898','VOUCHER_FECHA':'46039'},</v>
      </c>
    </row>
    <row r="144" spans="1:26" x14ac:dyDescent="0.25">
      <c r="A144" s="1" t="s">
        <v>39</v>
      </c>
      <c r="B144" s="1" t="s">
        <v>40</v>
      </c>
      <c r="C144" s="1" t="s">
        <v>33</v>
      </c>
      <c r="D144" s="12">
        <v>46039</v>
      </c>
      <c r="E144" s="12" t="str">
        <f>+TEXT(Tabla1[[#This Row],[fecha_revision]],"mmmm")</f>
        <v>Enero</v>
      </c>
      <c r="F144" s="3" t="s">
        <v>333</v>
      </c>
      <c r="G144" s="1" t="str">
        <f t="shared" si="11"/>
        <v>'260178367423',</v>
      </c>
      <c r="H144" s="1" t="s">
        <v>54</v>
      </c>
      <c r="I144" s="1" t="s">
        <v>334</v>
      </c>
      <c r="J144" s="1" t="str">
        <f t="shared" si="12"/>
        <v>'inv_9SdvjwTaYws7VwLb9wzAEG',</v>
      </c>
      <c r="K144" s="1" t="s">
        <v>10</v>
      </c>
      <c r="L144" s="1">
        <v>900</v>
      </c>
      <c r="M144" s="1">
        <v>900</v>
      </c>
      <c r="N144" s="1">
        <f t="shared" si="13"/>
        <v>0</v>
      </c>
      <c r="O144" s="1" t="s">
        <v>30</v>
      </c>
      <c r="P144" s="4" t="s">
        <v>163</v>
      </c>
      <c r="Q144" s="13">
        <v>4001928</v>
      </c>
      <c r="R144" s="12">
        <v>46039</v>
      </c>
      <c r="S144" s="4" t="s">
        <v>32</v>
      </c>
      <c r="T144" s="5"/>
      <c r="U144" s="1"/>
      <c r="V144" s="1"/>
      <c r="W144" s="1"/>
      <c r="X144" s="1"/>
      <c r="Y14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'260178367423','VOUCHER_Currency': 'PEN','VOUCHER_Amount': 900,'VOUCHER_Operacion_PSP': '4001928','VOUCHER_FECHA':'46039'},</v>
      </c>
      <c r="Z14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'260178367423','VOUCHER_Currency': 'PEN','VOUCHER_Amount': 900,'VOUCHER_Operacion_PSP': '4001928','VOUCHER_FECHA':'46039'},</v>
      </c>
    </row>
    <row r="145" spans="1:26" x14ac:dyDescent="0.25">
      <c r="A145" s="1" t="s">
        <v>39</v>
      </c>
      <c r="B145" s="1" t="s">
        <v>40</v>
      </c>
      <c r="C145" s="1" t="s">
        <v>33</v>
      </c>
      <c r="D145" s="12">
        <v>46039</v>
      </c>
      <c r="E145" s="12" t="str">
        <f>+TEXT(Tabla1[[#This Row],[fecha_revision]],"mmmm")</f>
        <v>Enero</v>
      </c>
      <c r="F145" s="3" t="s">
        <v>335</v>
      </c>
      <c r="G145" s="1" t="str">
        <f t="shared" si="11"/>
        <v>'260178352156',</v>
      </c>
      <c r="H145" s="1" t="s">
        <v>54</v>
      </c>
      <c r="I145" s="1" t="s">
        <v>336</v>
      </c>
      <c r="J145" s="1" t="str">
        <f t="shared" si="12"/>
        <v>'inv_8tKLcxawFNWUhWHbAJxt8a',</v>
      </c>
      <c r="K145" s="1" t="s">
        <v>10</v>
      </c>
      <c r="L145" s="1">
        <v>1000</v>
      </c>
      <c r="M145" s="1">
        <v>1000</v>
      </c>
      <c r="N145" s="1">
        <f t="shared" si="13"/>
        <v>0</v>
      </c>
      <c r="O145" s="1" t="s">
        <v>30</v>
      </c>
      <c r="P145" s="4" t="s">
        <v>163</v>
      </c>
      <c r="Q145" s="13">
        <v>4001895</v>
      </c>
      <c r="R145" s="12">
        <v>46039</v>
      </c>
      <c r="S145" s="4" t="s">
        <v>32</v>
      </c>
      <c r="T145" s="5"/>
      <c r="U145" s="1"/>
      <c r="V145" s="1"/>
      <c r="W145" s="1"/>
      <c r="X145" s="1"/>
      <c r="Y14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'260178352156','VOUCHER_Currency': 'PEN','VOUCHER_Amount': 1000,'VOUCHER_Operacion_PSP': '4001895','VOUCHER_FECHA':'46039'},</v>
      </c>
      <c r="Z14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'260178352156','VOUCHER_Currency': 'PEN','VOUCHER_Amount': 1000,'VOUCHER_Operacion_PSP': '4001895','VOUCHER_FECHA':'46039'},</v>
      </c>
    </row>
    <row r="146" spans="1:26" x14ac:dyDescent="0.25">
      <c r="A146" s="1" t="s">
        <v>39</v>
      </c>
      <c r="B146" s="1" t="s">
        <v>40</v>
      </c>
      <c r="C146" s="1" t="s">
        <v>50</v>
      </c>
      <c r="D146" s="12">
        <v>46039</v>
      </c>
      <c r="E146" s="12" t="str">
        <f>+TEXT(Tabla1[[#This Row],[fecha_revision]],"mmmm")</f>
        <v>Enero</v>
      </c>
      <c r="F146" s="3">
        <v>252907811234</v>
      </c>
      <c r="G146" s="1" t="str">
        <f t="shared" si="11"/>
        <v>'252907811234',</v>
      </c>
      <c r="H146" s="1" t="s">
        <v>34</v>
      </c>
      <c r="I146" s="1" t="s">
        <v>337</v>
      </c>
      <c r="J146" s="1" t="str">
        <f t="shared" si="12"/>
        <v>'inv_T5MrLEZLqpN4cbcdCBj8w6',</v>
      </c>
      <c r="K146" s="1" t="s">
        <v>10</v>
      </c>
      <c r="L146" s="1">
        <v>127</v>
      </c>
      <c r="M146" s="1">
        <v>127</v>
      </c>
      <c r="N146" s="1">
        <f t="shared" si="13"/>
        <v>0</v>
      </c>
      <c r="O146" s="1" t="s">
        <v>30</v>
      </c>
      <c r="P146" s="4" t="s">
        <v>163</v>
      </c>
      <c r="Q146" s="13">
        <v>4001877</v>
      </c>
      <c r="R146" s="12">
        <v>46039</v>
      </c>
      <c r="S146" s="4" t="s">
        <v>32</v>
      </c>
      <c r="T146" s="5"/>
      <c r="U146" s="1"/>
      <c r="V146" s="1"/>
      <c r="W146" s="1"/>
      <c r="X146" s="1"/>
      <c r="Y14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'252907811234','VOUCHER_Currency': 'PEN','VOUCHER_Amount': 127,'VOUCHER_Operacion_PSP': '4001877','VOUCHER_FECHA':'46039'},</v>
      </c>
      <c r="Z14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'252907811234','VOUCHER_Currency': 'PEN','VOUCHER_Amount': 127,'VOUCHER_Operacion_PSP': '4001877','VOUCHER_FECHA':'46039'},</v>
      </c>
    </row>
    <row r="147" spans="1:26" x14ac:dyDescent="0.25">
      <c r="A147" s="1">
        <v>23328</v>
      </c>
      <c r="B147" s="1" t="s">
        <v>26</v>
      </c>
      <c r="C147" s="1" t="s">
        <v>338</v>
      </c>
      <c r="D147" s="12">
        <v>46039</v>
      </c>
      <c r="E147" s="12" t="str">
        <f>+TEXT(Tabla1[[#This Row],[fecha_revision]],"mmmm")</f>
        <v>Enero</v>
      </c>
      <c r="F147" s="3">
        <v>260178159796</v>
      </c>
      <c r="G147" s="1" t="str">
        <f t="shared" si="11"/>
        <v>'260178159796',</v>
      </c>
      <c r="H147" s="1" t="s">
        <v>34</v>
      </c>
      <c r="I147" s="1" t="s">
        <v>339</v>
      </c>
      <c r="J147" s="1" t="str">
        <f t="shared" si="12"/>
        <v>'inv_68cq9F528hXVYoU3zLhhSr',</v>
      </c>
      <c r="K147" s="1" t="s">
        <v>10</v>
      </c>
      <c r="L147" s="1">
        <v>1980</v>
      </c>
      <c r="M147" s="1">
        <v>1980</v>
      </c>
      <c r="N147" s="1">
        <f t="shared" ref="N147" si="14">+L147-M147</f>
        <v>0</v>
      </c>
      <c r="O147" s="1" t="s">
        <v>30</v>
      </c>
      <c r="P147" s="4" t="s">
        <v>163</v>
      </c>
      <c r="Q147" s="13">
        <v>4001527</v>
      </c>
      <c r="R147" s="31" t="s">
        <v>340</v>
      </c>
      <c r="S147" s="4" t="s">
        <v>32</v>
      </c>
      <c r="T147" s="5"/>
      <c r="U147" s="1"/>
      <c r="V147" s="1"/>
      <c r="W147" s="1"/>
      <c r="X147" s="1"/>
      <c r="Y14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'260178159796','VOUCHER_Currency': 'PEN','VOUCHER_Amount': 1980,'VOUCHER_Operacion_PSP': '4001527','VOUCHER_FECHA':'16/01/2026'},</v>
      </c>
      <c r="Z14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'260178159796','VOUCHER_Currency': 'PEN','VOUCHER_Amount': 1980,'VOUCHER_Operacion_PSP': '4001527','VOUCHER_FECHA':'16/01/2026'},</v>
      </c>
    </row>
    <row r="148" spans="1:26" x14ac:dyDescent="0.25">
      <c r="A148" s="1">
        <v>23319</v>
      </c>
      <c r="B148" s="1" t="s">
        <v>26</v>
      </c>
      <c r="C148" s="1" t="s">
        <v>33</v>
      </c>
      <c r="D148" s="12">
        <v>46039</v>
      </c>
      <c r="E148" s="12" t="str">
        <f>+TEXT(Tabla1[[#This Row],[fecha_revision]],"mmmm")</f>
        <v>Enero</v>
      </c>
      <c r="F148" s="3">
        <v>260178167838</v>
      </c>
      <c r="G148" s="1" t="str">
        <f t="shared" si="11"/>
        <v>'260178167838',</v>
      </c>
      <c r="H148" s="1" t="s">
        <v>28</v>
      </c>
      <c r="I148" s="1" t="s">
        <v>341</v>
      </c>
      <c r="J148" s="1" t="str">
        <f t="shared" si="12"/>
        <v>'inv_4HVQgTftMySz85QDkdVVyh',</v>
      </c>
      <c r="K148" s="1" t="s">
        <v>10</v>
      </c>
      <c r="L148" s="1">
        <v>22</v>
      </c>
      <c r="M148" s="1">
        <v>22</v>
      </c>
      <c r="N148" s="1">
        <f t="shared" ref="N148:N158" si="15">+L148-M148</f>
        <v>0</v>
      </c>
      <c r="O148" s="1" t="s">
        <v>30</v>
      </c>
      <c r="P148" s="4" t="s">
        <v>163</v>
      </c>
      <c r="Q148" s="13">
        <v>4001537</v>
      </c>
      <c r="R148" s="31" t="s">
        <v>340</v>
      </c>
      <c r="S148" s="4" t="s">
        <v>32</v>
      </c>
      <c r="T148" s="5"/>
      <c r="U148" s="1"/>
      <c r="V148" s="1"/>
      <c r="W148" s="1"/>
      <c r="X148" s="1"/>
      <c r="Y14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'260178167838','VOUCHER_Currency': 'PEN','VOUCHER_Amount': 22,'VOUCHER_Operacion_PSP': '4001537','VOUCHER_FECHA':'16/01/2026'},</v>
      </c>
      <c r="Z14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'260178167838','VOUCHER_Currency': 'PEN','VOUCHER_Amount': 22,'VOUCHER_Operacion_PSP': '4001537','VOUCHER_FECHA':'16/01/2026'},</v>
      </c>
    </row>
    <row r="149" spans="1:26" x14ac:dyDescent="0.25">
      <c r="A149" s="1">
        <v>23311</v>
      </c>
      <c r="B149" s="1" t="s">
        <v>26</v>
      </c>
      <c r="C149" s="1" t="s">
        <v>27</v>
      </c>
      <c r="D149" s="12">
        <v>46039</v>
      </c>
      <c r="E149" s="12" t="str">
        <f>+TEXT(Tabla1[[#This Row],[fecha_revision]],"mmmm")</f>
        <v>Enero</v>
      </c>
      <c r="F149" s="3">
        <v>260178142584</v>
      </c>
      <c r="G149" s="1" t="str">
        <f t="shared" si="11"/>
        <v>'260178142584',</v>
      </c>
      <c r="H149" s="1" t="s">
        <v>28</v>
      </c>
      <c r="I149" s="1" t="s">
        <v>342</v>
      </c>
      <c r="J149" s="1" t="str">
        <f t="shared" si="12"/>
        <v>'inv_fBtwCJtofSfNe6EhhPSzoq',</v>
      </c>
      <c r="K149" s="1" t="s">
        <v>10</v>
      </c>
      <c r="L149" s="1">
        <v>100</v>
      </c>
      <c r="M149" s="1">
        <v>100</v>
      </c>
      <c r="N149" s="1">
        <f t="shared" si="15"/>
        <v>0</v>
      </c>
      <c r="O149" s="1" t="s">
        <v>30</v>
      </c>
      <c r="P149" s="4" t="s">
        <v>163</v>
      </c>
      <c r="Q149" s="13">
        <v>4001452</v>
      </c>
      <c r="R149" s="31" t="s">
        <v>340</v>
      </c>
      <c r="S149" s="4" t="s">
        <v>32</v>
      </c>
      <c r="T149" s="5"/>
      <c r="U149" s="1"/>
      <c r="V149" s="1"/>
      <c r="W149" s="1"/>
      <c r="X149" s="1"/>
      <c r="Y14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'260178142584','VOUCHER_Currency': 'PEN','VOUCHER_Amount': 100,'VOUCHER_Operacion_PSP': '4001452','VOUCHER_FECHA':'16/01/2026'},</v>
      </c>
      <c r="Z14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'260178142584','VOUCHER_Currency': 'PEN','VOUCHER_Amount': 100,'VOUCHER_Operacion_PSP': '4001452','VOUCHER_FECHA':'16/01/2026'},</v>
      </c>
    </row>
    <row r="150" spans="1:26" x14ac:dyDescent="0.25">
      <c r="A150" s="1">
        <v>23321</v>
      </c>
      <c r="B150" s="1" t="s">
        <v>26</v>
      </c>
      <c r="C150" s="1" t="s">
        <v>33</v>
      </c>
      <c r="D150" s="12">
        <v>46039</v>
      </c>
      <c r="E150" s="12" t="str">
        <f>+TEXT(Tabla1[[#This Row],[fecha_revision]],"mmmm")</f>
        <v>Enero</v>
      </c>
      <c r="F150" s="3">
        <v>260178166354</v>
      </c>
      <c r="G150" s="1" t="str">
        <f t="shared" si="11"/>
        <v>'260178166354',</v>
      </c>
      <c r="H150" s="1" t="s">
        <v>28</v>
      </c>
      <c r="I150" s="1" t="s">
        <v>343</v>
      </c>
      <c r="J150" s="1" t="str">
        <f t="shared" si="12"/>
        <v>'inv_MP965xA4kMJ8CNBVLasqVP',</v>
      </c>
      <c r="K150" s="1" t="s">
        <v>10</v>
      </c>
      <c r="L150" s="1">
        <v>20</v>
      </c>
      <c r="M150" s="1">
        <v>20</v>
      </c>
      <c r="N150" s="1">
        <f t="shared" si="15"/>
        <v>0</v>
      </c>
      <c r="O150" s="1" t="s">
        <v>30</v>
      </c>
      <c r="P150" s="4" t="s">
        <v>163</v>
      </c>
      <c r="Q150" s="13">
        <v>4001539</v>
      </c>
      <c r="R150" s="31" t="s">
        <v>340</v>
      </c>
      <c r="S150" s="4" t="s">
        <v>32</v>
      </c>
      <c r="T150" s="5"/>
      <c r="U150" s="1"/>
      <c r="V150" s="1"/>
      <c r="W150" s="1"/>
      <c r="X150" s="1"/>
      <c r="Y15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'260178166354','VOUCHER_Currency': 'PEN','VOUCHER_Amount': 20,'VOUCHER_Operacion_PSP': '4001539','VOUCHER_FECHA':'16/01/2026'},</v>
      </c>
      <c r="Z15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'260178166354','VOUCHER_Currency': 'PEN','VOUCHER_Amount': 20,'VOUCHER_Operacion_PSP': '4001539','VOUCHER_FECHA':'16/01/2026'},</v>
      </c>
    </row>
    <row r="151" spans="1:26" x14ac:dyDescent="0.25">
      <c r="A151" s="1">
        <v>23323</v>
      </c>
      <c r="B151" s="1" t="s">
        <v>26</v>
      </c>
      <c r="C151" s="1" t="s">
        <v>119</v>
      </c>
      <c r="D151" s="12">
        <v>46039</v>
      </c>
      <c r="E151" s="12" t="str">
        <f>+TEXT(Tabla1[[#This Row],[fecha_revision]],"mmmm")</f>
        <v>Enero</v>
      </c>
      <c r="F151" s="3">
        <v>260178172169</v>
      </c>
      <c r="G151" s="1" t="str">
        <f t="shared" si="11"/>
        <v>'260178172169',</v>
      </c>
      <c r="H151" s="1" t="s">
        <v>34</v>
      </c>
      <c r="I151" s="1" t="s">
        <v>344</v>
      </c>
      <c r="J151" s="1" t="str">
        <f t="shared" si="12"/>
        <v>'inv_Ei3M5km2RbV3k8v69aRbVK',</v>
      </c>
      <c r="K151" s="1" t="s">
        <v>10</v>
      </c>
      <c r="L151" s="1">
        <v>22</v>
      </c>
      <c r="M151" s="1">
        <v>22</v>
      </c>
      <c r="N151" s="1">
        <f t="shared" si="15"/>
        <v>0</v>
      </c>
      <c r="O151" s="1" t="s">
        <v>30</v>
      </c>
      <c r="P151" s="4" t="s">
        <v>163</v>
      </c>
      <c r="Q151" s="13">
        <v>4001553</v>
      </c>
      <c r="R151" s="31" t="s">
        <v>340</v>
      </c>
      <c r="S151" s="4" t="s">
        <v>32</v>
      </c>
      <c r="T151" s="5"/>
      <c r="U151" s="1"/>
      <c r="V151" s="1"/>
      <c r="W151" s="1"/>
      <c r="X151" s="1"/>
      <c r="Y15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'260178172169','VOUCHER_Currency': 'PEN','VOUCHER_Amount': 22,'VOUCHER_Operacion_PSP': '4001553','VOUCHER_FECHA':'16/01/2026'},</v>
      </c>
      <c r="Z15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'260178172169','VOUCHER_Currency': 'PEN','VOUCHER_Amount': 22,'VOUCHER_Operacion_PSP': '4001553','VOUCHER_FECHA':'16/01/2026'},</v>
      </c>
    </row>
    <row r="152" spans="1:26" x14ac:dyDescent="0.25">
      <c r="A152" s="1">
        <v>23331</v>
      </c>
      <c r="B152" s="1" t="s">
        <v>26</v>
      </c>
      <c r="C152" s="1" t="s">
        <v>33</v>
      </c>
      <c r="D152" s="12">
        <v>46039</v>
      </c>
      <c r="E152" s="12" t="str">
        <f>+TEXT(Tabla1[[#This Row],[fecha_revision]],"mmmm")</f>
        <v>Enero</v>
      </c>
      <c r="F152" s="3">
        <v>260178167906</v>
      </c>
      <c r="G152" s="1" t="str">
        <f t="shared" si="11"/>
        <v>'260178167906',</v>
      </c>
      <c r="H152" s="1" t="s">
        <v>28</v>
      </c>
      <c r="I152" s="1" t="s">
        <v>345</v>
      </c>
      <c r="J152" s="1" t="str">
        <f t="shared" si="12"/>
        <v>'inv_n6gjMWr8Q8TLV7mnkJdNGd',</v>
      </c>
      <c r="K152" s="1" t="s">
        <v>10</v>
      </c>
      <c r="L152" s="1">
        <v>40</v>
      </c>
      <c r="M152" s="1">
        <v>40</v>
      </c>
      <c r="N152" s="1">
        <f t="shared" si="15"/>
        <v>0</v>
      </c>
      <c r="O152" s="1" t="s">
        <v>30</v>
      </c>
      <c r="P152" s="4" t="s">
        <v>163</v>
      </c>
      <c r="Q152" s="13">
        <v>4001541</v>
      </c>
      <c r="R152" s="31" t="s">
        <v>340</v>
      </c>
      <c r="S152" s="4" t="s">
        <v>32</v>
      </c>
      <c r="T152" s="5"/>
      <c r="U152" s="1"/>
      <c r="V152" s="1"/>
      <c r="W152" s="1"/>
      <c r="X152" s="1"/>
      <c r="Y15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'260178167906','VOUCHER_Currency': 'PEN','VOUCHER_Amount': 40,'VOUCHER_Operacion_PSP': '4001541','VOUCHER_FECHA':'16/01/2026'},</v>
      </c>
      <c r="Z15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'260178167906','VOUCHER_Currency': 'PEN','VOUCHER_Amount': 40,'VOUCHER_Operacion_PSP': '4001541','VOUCHER_FECHA':'16/01/2026'},</v>
      </c>
    </row>
    <row r="153" spans="1:26" x14ac:dyDescent="0.25">
      <c r="A153" s="1">
        <v>23332</v>
      </c>
      <c r="B153" s="1" t="s">
        <v>26</v>
      </c>
      <c r="C153" s="1" t="s">
        <v>33</v>
      </c>
      <c r="D153" s="12">
        <v>46039</v>
      </c>
      <c r="E153" s="12" t="str">
        <f>+TEXT(Tabla1[[#This Row],[fecha_revision]],"mmmm")</f>
        <v>Enero</v>
      </c>
      <c r="F153" s="3">
        <v>260178199404</v>
      </c>
      <c r="G153" s="1" t="str">
        <f t="shared" si="11"/>
        <v>'260178199404',</v>
      </c>
      <c r="H153" s="1" t="s">
        <v>28</v>
      </c>
      <c r="I153" s="1" t="s">
        <v>346</v>
      </c>
      <c r="J153" s="1" t="str">
        <f t="shared" si="12"/>
        <v>'inv_EcQQ4UoDXNnPQB6CYpSRQG',</v>
      </c>
      <c r="K153" s="1" t="s">
        <v>10</v>
      </c>
      <c r="L153" s="1">
        <v>300</v>
      </c>
      <c r="M153" s="1">
        <v>300</v>
      </c>
      <c r="N153" s="1">
        <f t="shared" si="15"/>
        <v>0</v>
      </c>
      <c r="O153" s="1" t="s">
        <v>30</v>
      </c>
      <c r="P153" s="4" t="s">
        <v>163</v>
      </c>
      <c r="Q153" s="13">
        <v>4001597</v>
      </c>
      <c r="R153" s="31" t="s">
        <v>340</v>
      </c>
      <c r="S153" s="4" t="s">
        <v>32</v>
      </c>
      <c r="T153" s="5"/>
      <c r="U153" s="1"/>
      <c r="V153" s="1"/>
      <c r="W153" s="1"/>
      <c r="X153" s="1"/>
      <c r="Y15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'260178199404','VOUCHER_Currency': 'PEN','VOUCHER_Amount': 300,'VOUCHER_Operacion_PSP': '4001597','VOUCHER_FECHA':'16/01/2026'},</v>
      </c>
      <c r="Z15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'260178199404','VOUCHER_Currency': 'PEN','VOUCHER_Amount': 300,'VOUCHER_Operacion_PSP': '4001597','VOUCHER_FECHA':'16/01/2026'},</v>
      </c>
    </row>
    <row r="154" spans="1:26" x14ac:dyDescent="0.25">
      <c r="A154" s="1" t="s">
        <v>39</v>
      </c>
      <c r="B154" s="1" t="s">
        <v>40</v>
      </c>
      <c r="C154" s="1" t="s">
        <v>33</v>
      </c>
      <c r="D154" s="12">
        <v>46040</v>
      </c>
      <c r="E154" s="12" t="str">
        <f>+TEXT(Tabla1[[#This Row],[fecha_revision]],"mmmm")</f>
        <v>Enero</v>
      </c>
      <c r="F154" s="3">
        <v>260189684241</v>
      </c>
      <c r="G154" s="1" t="str">
        <f t="shared" si="11"/>
        <v>'260189684241',</v>
      </c>
      <c r="H154" s="1" t="s">
        <v>34</v>
      </c>
      <c r="I154" s="1" t="s">
        <v>347</v>
      </c>
      <c r="J154" s="1" t="str">
        <f t="shared" si="12"/>
        <v>'inv_jPoZcN8S9PC9r5h5UehuPQ',</v>
      </c>
      <c r="K154" s="1" t="s">
        <v>10</v>
      </c>
      <c r="L154" s="1">
        <v>300</v>
      </c>
      <c r="M154" s="1">
        <v>300</v>
      </c>
      <c r="N154" s="1">
        <f t="shared" si="15"/>
        <v>0</v>
      </c>
      <c r="O154" s="1" t="s">
        <v>30</v>
      </c>
      <c r="P154" s="4" t="s">
        <v>163</v>
      </c>
      <c r="Q154" s="13">
        <v>4005581</v>
      </c>
      <c r="R154" s="12">
        <v>46040</v>
      </c>
      <c r="S154" s="4" t="s">
        <v>32</v>
      </c>
      <c r="T154" s="5"/>
      <c r="U154" s="1"/>
      <c r="V154" s="1"/>
      <c r="W154" s="1"/>
      <c r="X154" s="1"/>
      <c r="Y15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'260189684241','VOUCHER_Currency': 'PEN','VOUCHER_Amount': 300,'VOUCHER_Operacion_PSP': '4005581','VOUCHER_FECHA':'46040'},</v>
      </c>
      <c r="Z15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'260189684241','VOUCHER_Currency': 'PEN','VOUCHER_Amount': 300,'VOUCHER_Operacion_PSP': '4005581','VOUCHER_FECHA':'46040'},</v>
      </c>
    </row>
    <row r="155" spans="1:26" x14ac:dyDescent="0.25">
      <c r="A155" s="1">
        <v>23333</v>
      </c>
      <c r="B155" s="1" t="s">
        <v>26</v>
      </c>
      <c r="C155" s="1" t="s">
        <v>27</v>
      </c>
      <c r="D155" s="12">
        <v>46040</v>
      </c>
      <c r="E155" s="12" t="str">
        <f>+TEXT(Tabla1[[#This Row],[fecha_revision]],"mmmm")</f>
        <v>Enero</v>
      </c>
      <c r="F155" s="3">
        <v>260178288509</v>
      </c>
      <c r="G155" s="1" t="str">
        <f t="shared" si="11"/>
        <v>'260178288509',</v>
      </c>
      <c r="H155" s="1" t="s">
        <v>28</v>
      </c>
      <c r="I155" s="1" t="s">
        <v>348</v>
      </c>
      <c r="J155" s="1" t="str">
        <f t="shared" si="12"/>
        <v>'inv_ZusTrK6mKZYTBtHvFLtwnL',</v>
      </c>
      <c r="K155" s="1" t="s">
        <v>10</v>
      </c>
      <c r="L155" s="1">
        <v>5000</v>
      </c>
      <c r="M155" s="1">
        <v>5000</v>
      </c>
      <c r="N155" s="1">
        <f t="shared" si="15"/>
        <v>0</v>
      </c>
      <c r="O155" s="1" t="s">
        <v>30</v>
      </c>
      <c r="P155" s="4" t="s">
        <v>163</v>
      </c>
      <c r="Q155" s="13">
        <v>4001766</v>
      </c>
      <c r="R155" s="12">
        <v>46039</v>
      </c>
      <c r="S155" s="4" t="s">
        <v>32</v>
      </c>
      <c r="T155" s="5"/>
      <c r="U155" s="1"/>
      <c r="V155" s="1"/>
      <c r="W155" s="1"/>
      <c r="X155" s="1"/>
      <c r="Y15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'260178288509','VOUCHER_Currency': 'PEN','VOUCHER_Amount': 5000,'VOUCHER_Operacion_PSP': '4001766','VOUCHER_FECHA':'46039'},</v>
      </c>
      <c r="Z15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'260178288509','VOUCHER_Currency': 'PEN','VOUCHER_Amount': 5000,'VOUCHER_Operacion_PSP': '4001766','VOUCHER_FECHA':'46039'},</v>
      </c>
    </row>
    <row r="156" spans="1:26" x14ac:dyDescent="0.25">
      <c r="A156" s="1" t="s">
        <v>39</v>
      </c>
      <c r="B156" s="1" t="s">
        <v>40</v>
      </c>
      <c r="C156" s="1" t="s">
        <v>33</v>
      </c>
      <c r="D156" s="12">
        <v>46040</v>
      </c>
      <c r="E156" s="12" t="str">
        <f>+TEXT(Tabla1[[#This Row],[fecha_revision]],"mmmm")</f>
        <v>Enero</v>
      </c>
      <c r="F156" s="3">
        <v>260189682905</v>
      </c>
      <c r="G156" s="1" t="str">
        <f t="shared" si="11"/>
        <v>'260189682905',</v>
      </c>
      <c r="H156" s="1" t="s">
        <v>28</v>
      </c>
      <c r="I156" s="1" t="s">
        <v>349</v>
      </c>
      <c r="J156" s="1" t="str">
        <f t="shared" si="12"/>
        <v>'inv_AQizznT9oXhncMmYMJjRDM',</v>
      </c>
      <c r="K156" s="1" t="s">
        <v>10</v>
      </c>
      <c r="L156" s="1">
        <v>100</v>
      </c>
      <c r="M156" s="1">
        <v>100</v>
      </c>
      <c r="N156" s="1">
        <f t="shared" si="15"/>
        <v>0</v>
      </c>
      <c r="O156" s="1" t="s">
        <v>30</v>
      </c>
      <c r="P156" s="4" t="s">
        <v>31</v>
      </c>
      <c r="Q156" s="13">
        <v>360656</v>
      </c>
      <c r="R156" s="12">
        <v>46040</v>
      </c>
      <c r="S156" s="4" t="s">
        <v>32</v>
      </c>
      <c r="T156" s="5"/>
      <c r="U156" s="1"/>
      <c r="V156" s="1"/>
      <c r="W156" s="1"/>
      <c r="X156" s="1"/>
      <c r="Y15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'260189682905','VOUCHER_Currency': 'PEN','VOUCHER_Amount': 100,'VOUCHER_Operacion_PSP': '360656','VOUCHER_FECHA':'46040'},</v>
      </c>
      <c r="Z15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'260189682905','VOUCHER_Currency': 'PEN','VOUCHER_Amount': 100,'VOUCHER_Operacion_PSP': '360656','VOUCHER_FECHA':'46040'},</v>
      </c>
    </row>
    <row r="157" spans="1:26" x14ac:dyDescent="0.25">
      <c r="A157" s="1">
        <v>23344</v>
      </c>
      <c r="B157" s="1" t="s">
        <v>26</v>
      </c>
      <c r="C157" s="1" t="s">
        <v>33</v>
      </c>
      <c r="D157" s="12">
        <v>46040</v>
      </c>
      <c r="E157" s="12" t="str">
        <f>+TEXT(Tabla1[[#This Row],[fecha_revision]],"mmmm")</f>
        <v>Enero</v>
      </c>
      <c r="F157" s="3">
        <v>260189855926</v>
      </c>
      <c r="G157" s="1" t="str">
        <f t="shared" si="11"/>
        <v>'260189855926',</v>
      </c>
      <c r="H157" s="1" t="s">
        <v>34</v>
      </c>
      <c r="I157" s="1" t="s">
        <v>350</v>
      </c>
      <c r="J157" s="1" t="str">
        <f t="shared" si="12"/>
        <v>'inv_AJeNVruRNUD6HLoqYRFtD9',</v>
      </c>
      <c r="K157" s="1" t="s">
        <v>10</v>
      </c>
      <c r="L157" s="1">
        <v>26</v>
      </c>
      <c r="M157" s="1">
        <v>26</v>
      </c>
      <c r="N157" s="1">
        <f t="shared" si="15"/>
        <v>0</v>
      </c>
      <c r="O157" s="1" t="s">
        <v>30</v>
      </c>
      <c r="P157" s="4" t="s">
        <v>31</v>
      </c>
      <c r="Q157" s="13">
        <v>319921</v>
      </c>
      <c r="R157" s="12">
        <v>46040</v>
      </c>
      <c r="S157" s="4" t="s">
        <v>32</v>
      </c>
      <c r="T157" s="5"/>
      <c r="U157" s="1"/>
      <c r="V157" s="1"/>
      <c r="W157" s="1"/>
      <c r="X157" s="1"/>
      <c r="Y15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'260189855926','VOUCHER_Currency': 'PEN','VOUCHER_Amount': 26,'VOUCHER_Operacion_PSP': '319921','VOUCHER_FECHA':'46040'},</v>
      </c>
      <c r="Z15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'260189855926','VOUCHER_Currency': 'PEN','VOUCHER_Amount': 26,'VOUCHER_Operacion_PSP': '319921','VOUCHER_FECHA':'46040'},</v>
      </c>
    </row>
    <row r="158" spans="1:26" x14ac:dyDescent="0.25">
      <c r="A158" s="1" t="s">
        <v>39</v>
      </c>
      <c r="B158" s="1" t="s">
        <v>40</v>
      </c>
      <c r="C158" s="1" t="s">
        <v>33</v>
      </c>
      <c r="D158" s="12">
        <v>46041</v>
      </c>
      <c r="E158" s="12" t="str">
        <f>+TEXT(Tabla1[[#This Row],[fecha_revision]],"mmmm")</f>
        <v>Enero</v>
      </c>
      <c r="F158" s="3">
        <v>260190613984</v>
      </c>
      <c r="G158" s="1" t="str">
        <f t="shared" si="11"/>
        <v>'260190613984',</v>
      </c>
      <c r="H158" s="1" t="s">
        <v>34</v>
      </c>
      <c r="I158" s="1" t="s">
        <v>351</v>
      </c>
      <c r="J158" s="1" t="str">
        <f t="shared" si="12"/>
        <v>'inv_aKbfqdZ5zzSzaUfsQWj49k',</v>
      </c>
      <c r="K158" s="1" t="s">
        <v>10</v>
      </c>
      <c r="L158" s="1">
        <v>100</v>
      </c>
      <c r="M158" s="1">
        <v>100</v>
      </c>
      <c r="N158" s="1">
        <f t="shared" si="15"/>
        <v>0</v>
      </c>
      <c r="O158" s="1" t="s">
        <v>30</v>
      </c>
      <c r="P158" s="4" t="s">
        <v>31</v>
      </c>
      <c r="Q158" s="13" t="s">
        <v>352</v>
      </c>
      <c r="R158" s="12">
        <v>46041</v>
      </c>
      <c r="S158" s="4" t="s">
        <v>32</v>
      </c>
      <c r="T158" s="5"/>
      <c r="U158" s="1"/>
      <c r="V158" s="1"/>
      <c r="W158" s="1"/>
      <c r="X158" s="1"/>
      <c r="Y15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'260190613984','VOUCHER_Currency': 'PEN','VOUCHER_Amount': 100,'VOUCHER_Operacion_PSP': '502148','VOUCHER_FECHA':'46041'},</v>
      </c>
      <c r="Z15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'260190613984','VOUCHER_Currency': 'PEN','VOUCHER_Amount': 100,'VOUCHER_Operacion_PSP': '502148','VOUCHER_FECHA':'46041'},</v>
      </c>
    </row>
    <row r="159" spans="1:26" x14ac:dyDescent="0.25">
      <c r="A159" s="14">
        <v>23367</v>
      </c>
      <c r="B159" s="14" t="s">
        <v>26</v>
      </c>
      <c r="C159" s="14" t="s">
        <v>338</v>
      </c>
      <c r="D159" s="12">
        <v>46041</v>
      </c>
      <c r="E159" s="12" t="str">
        <f>+TEXT(Tabla1[[#This Row],[fecha_revision]],"mmmm")</f>
        <v>Enero</v>
      </c>
      <c r="F159" s="16">
        <v>260178255819</v>
      </c>
      <c r="G159" s="14" t="str">
        <f>CONCATENATE("'",F159,"',")</f>
        <v>'260178255819',</v>
      </c>
      <c r="H159" s="14" t="s">
        <v>28</v>
      </c>
      <c r="I159" s="14" t="s">
        <v>353</v>
      </c>
      <c r="J159" s="14" t="str">
        <f>CONCATENATE("'",I159,"',")</f>
        <v>'inv_8NkeKpVZZqk3F6VyM2zW5y',</v>
      </c>
      <c r="K159" s="1" t="s">
        <v>10</v>
      </c>
      <c r="L159" s="14">
        <v>1980</v>
      </c>
      <c r="M159" s="14">
        <v>1980</v>
      </c>
      <c r="N159" s="14">
        <f>+L159-M159</f>
        <v>0</v>
      </c>
      <c r="O159" s="1" t="s">
        <v>30</v>
      </c>
      <c r="P159" s="4" t="s">
        <v>163</v>
      </c>
      <c r="Q159" s="18" t="s">
        <v>354</v>
      </c>
      <c r="R159" s="15">
        <v>46039</v>
      </c>
      <c r="S159" s="4" t="s">
        <v>32</v>
      </c>
      <c r="T159" s="19"/>
      <c r="U159" s="14"/>
      <c r="V159" s="14"/>
      <c r="W159" s="14"/>
      <c r="X159" s="14"/>
      <c r="Y15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'260178255819','VOUCHER_Currency': 'PEN','VOUCHER_Amount': 1980,'VOUCHER_Operacion_PSP': '0004001695','VOUCHER_FECHA':'46039'},</v>
      </c>
      <c r="Z159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'260178255819','VOUCHER_Currency': 'PEN','VOUCHER_Amount': 1980,'VOUCHER_Operacion_PSP': '0004001695','VOUCHER_FECHA':'46039'},</v>
      </c>
    </row>
    <row r="160" spans="1:26" x14ac:dyDescent="0.25">
      <c r="A160" s="1">
        <v>23384</v>
      </c>
      <c r="B160" s="1" t="s">
        <v>26</v>
      </c>
      <c r="C160" s="1" t="s">
        <v>33</v>
      </c>
      <c r="D160" s="12">
        <v>46041</v>
      </c>
      <c r="E160" s="12" t="str">
        <f>+TEXT(Tabla1[[#This Row],[fecha_revision]],"mmmm")</f>
        <v>Enero</v>
      </c>
      <c r="F160" s="3">
        <v>260178190333</v>
      </c>
      <c r="G160" s="1" t="str">
        <f t="shared" ref="G160:G165" si="16">CONCATENATE("'",F160,"',")</f>
        <v>'260178190333',</v>
      </c>
      <c r="H160" s="14" t="s">
        <v>28</v>
      </c>
      <c r="I160" s="1" t="s">
        <v>355</v>
      </c>
      <c r="J160" s="1" t="str">
        <f t="shared" ref="J160:J165" si="17">CONCATENATE("'",I160,"',")</f>
        <v>'inv_9u2szoNVJDcTciEWgWuUM5',</v>
      </c>
      <c r="K160" s="1" t="s">
        <v>10</v>
      </c>
      <c r="L160" s="1">
        <v>80</v>
      </c>
      <c r="M160" s="1">
        <v>80</v>
      </c>
      <c r="N160" s="14">
        <f>+L160-M160</f>
        <v>0</v>
      </c>
      <c r="O160" s="1" t="s">
        <v>30</v>
      </c>
      <c r="P160" s="4" t="s">
        <v>163</v>
      </c>
      <c r="Q160" s="13">
        <v>4001591</v>
      </c>
      <c r="R160" s="31" t="s">
        <v>340</v>
      </c>
      <c r="S160" s="4" t="s">
        <v>32</v>
      </c>
      <c r="T160" s="5"/>
      <c r="U160" s="1"/>
      <c r="V160" s="1"/>
      <c r="W160" s="1"/>
      <c r="X160" s="1"/>
      <c r="Y16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'260178190333','VOUCHER_Currency': 'PEN','VOUCHER_Amount': 80,'VOUCHER_Operacion_PSP': '4001591','VOUCHER_FECHA':'16/01/2026'},</v>
      </c>
      <c r="Z16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'260178190333','VOUCHER_Currency': 'PEN','VOUCHER_Amount': 80,'VOUCHER_Operacion_PSP': '4001591','VOUCHER_FECHA':'16/01/2026'},</v>
      </c>
    </row>
    <row r="161" spans="1:26" x14ac:dyDescent="0.25">
      <c r="A161" s="1">
        <v>23388</v>
      </c>
      <c r="B161" s="1" t="s">
        <v>26</v>
      </c>
      <c r="C161" s="1" t="s">
        <v>27</v>
      </c>
      <c r="D161" s="12">
        <v>46041</v>
      </c>
      <c r="E161" s="12" t="str">
        <f>+TEXT(Tabla1[[#This Row],[fecha_revision]],"mmmm")</f>
        <v>Enero</v>
      </c>
      <c r="F161" s="3">
        <v>260167375904</v>
      </c>
      <c r="G161" s="1" t="str">
        <f t="shared" si="16"/>
        <v>'260167375904',</v>
      </c>
      <c r="H161" s="1" t="s">
        <v>157</v>
      </c>
      <c r="I161" s="1" t="s">
        <v>356</v>
      </c>
      <c r="J161" s="1" t="str">
        <f t="shared" si="17"/>
        <v>'inv_ac5pQYavccGA9CERprCmSt',</v>
      </c>
      <c r="K161" s="1" t="s">
        <v>10</v>
      </c>
      <c r="L161" s="1">
        <v>20</v>
      </c>
      <c r="M161" s="1">
        <v>20</v>
      </c>
      <c r="N161" s="14">
        <f t="shared" ref="N161:N175" si="18">+L161-M161</f>
        <v>0</v>
      </c>
      <c r="O161" s="1" t="s">
        <v>30</v>
      </c>
      <c r="P161" s="4" t="s">
        <v>163</v>
      </c>
      <c r="Q161" s="13">
        <v>3999729</v>
      </c>
      <c r="R161" s="31" t="s">
        <v>340</v>
      </c>
      <c r="S161" s="4" t="s">
        <v>32</v>
      </c>
      <c r="T161" s="5"/>
      <c r="U161" s="1"/>
      <c r="V161" s="1"/>
      <c r="W161" s="1"/>
      <c r="X161" s="1"/>
      <c r="Y16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'260167375904','VOUCHER_Currency': 'PEN','VOUCHER_Amount': 20,'VOUCHER_Operacion_PSP': '3999729','VOUCHER_FECHA':'16/01/2026'},</v>
      </c>
      <c r="Z16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'260167375904','VOUCHER_Currency': 'PEN','VOUCHER_Amount': 20,'VOUCHER_Operacion_PSP': '3999729','VOUCHER_FECHA':'16/01/2026'},</v>
      </c>
    </row>
    <row r="162" spans="1:26" x14ac:dyDescent="0.25">
      <c r="A162" s="1">
        <v>23388</v>
      </c>
      <c r="B162" s="1" t="s">
        <v>26</v>
      </c>
      <c r="C162" s="1" t="s">
        <v>33</v>
      </c>
      <c r="D162" s="12">
        <v>46041</v>
      </c>
      <c r="E162" s="12" t="str">
        <f>+TEXT(Tabla1[[#This Row],[fecha_revision]],"mmmm")</f>
        <v>Enero</v>
      </c>
      <c r="F162" s="3">
        <v>260178172473</v>
      </c>
      <c r="G162" s="1" t="str">
        <f t="shared" si="16"/>
        <v>'260178172473',</v>
      </c>
      <c r="H162" s="1" t="s">
        <v>157</v>
      </c>
      <c r="I162" s="1" t="s">
        <v>357</v>
      </c>
      <c r="J162" s="1" t="str">
        <f t="shared" si="17"/>
        <v>'inv_AaTFsEu2eUZxA9KJXpyXgV',</v>
      </c>
      <c r="K162" s="1" t="s">
        <v>10</v>
      </c>
      <c r="L162" s="1">
        <v>20</v>
      </c>
      <c r="M162" s="1">
        <v>20</v>
      </c>
      <c r="N162" s="14">
        <f t="shared" si="18"/>
        <v>0</v>
      </c>
      <c r="O162" s="1" t="s">
        <v>30</v>
      </c>
      <c r="P162" s="4" t="s">
        <v>163</v>
      </c>
      <c r="Q162" s="13">
        <v>4001551</v>
      </c>
      <c r="R162" s="31" t="s">
        <v>340</v>
      </c>
      <c r="S162" s="4" t="s">
        <v>32</v>
      </c>
      <c r="T162" s="5"/>
      <c r="U162" s="1"/>
      <c r="V162" s="1"/>
      <c r="W162" s="1"/>
      <c r="X162" s="1"/>
      <c r="Y16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'260178172473','VOUCHER_Currency': 'PEN','VOUCHER_Amount': 20,'VOUCHER_Operacion_PSP': '4001551','VOUCHER_FECHA':'16/01/2026'},</v>
      </c>
      <c r="Z16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'260178172473','VOUCHER_Currency': 'PEN','VOUCHER_Amount': 20,'VOUCHER_Operacion_PSP': '4001551','VOUCHER_FECHA':'16/01/2026'},</v>
      </c>
    </row>
    <row r="163" spans="1:26" x14ac:dyDescent="0.25">
      <c r="A163" s="1">
        <v>23388</v>
      </c>
      <c r="B163" s="1" t="s">
        <v>26</v>
      </c>
      <c r="C163" s="1" t="s">
        <v>33</v>
      </c>
      <c r="D163" s="12">
        <v>46041</v>
      </c>
      <c r="E163" s="12" t="str">
        <f>+TEXT(Tabla1[[#This Row],[fecha_revision]],"mmmm")</f>
        <v>Enero</v>
      </c>
      <c r="F163" s="3">
        <v>260178179559</v>
      </c>
      <c r="G163" s="1" t="str">
        <f t="shared" si="16"/>
        <v>'260178179559',</v>
      </c>
      <c r="H163" s="1" t="s">
        <v>157</v>
      </c>
      <c r="I163" s="1" t="s">
        <v>358</v>
      </c>
      <c r="J163" s="1" t="str">
        <f t="shared" si="17"/>
        <v>'inv_YZfiMUn76iMgi5ibcrAwrv',</v>
      </c>
      <c r="K163" s="1" t="s">
        <v>10</v>
      </c>
      <c r="L163" s="1">
        <v>20</v>
      </c>
      <c r="M163" s="1">
        <v>20</v>
      </c>
      <c r="N163" s="14">
        <f t="shared" si="18"/>
        <v>0</v>
      </c>
      <c r="O163" s="1" t="s">
        <v>30</v>
      </c>
      <c r="P163" s="4" t="s">
        <v>163</v>
      </c>
      <c r="Q163" s="13">
        <v>4001573</v>
      </c>
      <c r="R163" s="31" t="s">
        <v>340</v>
      </c>
      <c r="S163" s="4" t="s">
        <v>32</v>
      </c>
      <c r="T163" s="5"/>
      <c r="U163" s="1"/>
      <c r="V163" s="1"/>
      <c r="W163" s="1"/>
      <c r="X163" s="1"/>
      <c r="Y16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'260178179559','VOUCHER_Currency': 'PEN','VOUCHER_Amount': 20,'VOUCHER_Operacion_PSP': '4001573','VOUCHER_FECHA':'16/01/2026'},</v>
      </c>
      <c r="Z16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'260178179559','VOUCHER_Currency': 'PEN','VOUCHER_Amount': 20,'VOUCHER_Operacion_PSP': '4001573','VOUCHER_FECHA':'16/01/2026'},</v>
      </c>
    </row>
    <row r="164" spans="1:26" x14ac:dyDescent="0.25">
      <c r="A164" s="1">
        <v>23388</v>
      </c>
      <c r="B164" s="1" t="s">
        <v>26</v>
      </c>
      <c r="C164" s="1" t="s">
        <v>27</v>
      </c>
      <c r="D164" s="12">
        <v>46041</v>
      </c>
      <c r="E164" s="12" t="str">
        <f>+TEXT(Tabla1[[#This Row],[fecha_revision]],"mmmm")</f>
        <v>Enero</v>
      </c>
      <c r="F164" s="3">
        <v>260178191335</v>
      </c>
      <c r="G164" s="1" t="str">
        <f t="shared" si="16"/>
        <v>'260178191335',</v>
      </c>
      <c r="H164" s="1" t="s">
        <v>157</v>
      </c>
      <c r="I164" s="1" t="s">
        <v>359</v>
      </c>
      <c r="J164" s="1" t="str">
        <f t="shared" si="17"/>
        <v>'inv_Fj9eJKV5S3UJMcMHNU2AWF',</v>
      </c>
      <c r="K164" s="1" t="s">
        <v>10</v>
      </c>
      <c r="L164" s="1">
        <v>20</v>
      </c>
      <c r="M164" s="1">
        <v>20</v>
      </c>
      <c r="N164" s="14">
        <f t="shared" si="18"/>
        <v>0</v>
      </c>
      <c r="O164" s="1" t="s">
        <v>30</v>
      </c>
      <c r="P164" s="4" t="s">
        <v>163</v>
      </c>
      <c r="Q164" s="13">
        <v>4001589</v>
      </c>
      <c r="R164" s="31" t="s">
        <v>340</v>
      </c>
      <c r="S164" s="4" t="s">
        <v>32</v>
      </c>
      <c r="T164" s="5"/>
      <c r="U164" s="1"/>
      <c r="V164" s="1"/>
      <c r="W164" s="1"/>
      <c r="X164" s="1"/>
      <c r="Y16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'260178191335','VOUCHER_Currency': 'PEN','VOUCHER_Amount': 20,'VOUCHER_Operacion_PSP': '4001589','VOUCHER_FECHA':'16/01/2026'},</v>
      </c>
      <c r="Z16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'260178191335','VOUCHER_Currency': 'PEN','VOUCHER_Amount': 20,'VOUCHER_Operacion_PSP': '4001589','VOUCHER_FECHA':'16/01/2026'},</v>
      </c>
    </row>
    <row r="165" spans="1:26" x14ac:dyDescent="0.25">
      <c r="A165" s="1">
        <v>23388</v>
      </c>
      <c r="B165" s="1" t="s">
        <v>26</v>
      </c>
      <c r="C165" s="14" t="s">
        <v>62</v>
      </c>
      <c r="D165" s="12">
        <v>46041</v>
      </c>
      <c r="E165" s="12" t="str">
        <f>+TEXT(Tabla1[[#This Row],[fecha_revision]],"mmmm")</f>
        <v>Enero</v>
      </c>
      <c r="F165" s="16">
        <v>260178332516</v>
      </c>
      <c r="G165" s="14" t="str">
        <f t="shared" si="16"/>
        <v>'260178332516',</v>
      </c>
      <c r="H165" s="14" t="s">
        <v>157</v>
      </c>
      <c r="I165" s="14" t="s">
        <v>360</v>
      </c>
      <c r="J165" s="14" t="str">
        <f t="shared" si="17"/>
        <v>'inv_7F9ixzV5SBUNmMj2g6CKn8',</v>
      </c>
      <c r="K165" s="1" t="s">
        <v>10</v>
      </c>
      <c r="L165" s="14">
        <v>30</v>
      </c>
      <c r="M165" s="14">
        <v>30</v>
      </c>
      <c r="N165" s="14">
        <f t="shared" si="18"/>
        <v>0</v>
      </c>
      <c r="O165" s="1" t="s">
        <v>30</v>
      </c>
      <c r="P165" s="4" t="s">
        <v>163</v>
      </c>
      <c r="Q165" s="18">
        <v>4001861</v>
      </c>
      <c r="R165" s="33" t="s">
        <v>361</v>
      </c>
      <c r="S165" s="4" t="s">
        <v>32</v>
      </c>
      <c r="T165" s="19"/>
      <c r="U165" s="14"/>
      <c r="V165" s="14"/>
      <c r="W165" s="14"/>
      <c r="X165" s="14"/>
      <c r="Y165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'260178332516','VOUCHER_Currency': 'PEN','VOUCHER_Amount': 30,'VOUCHER_Operacion_PSP': '4001861','VOUCHER_FECHA':'17/01/2026'},</v>
      </c>
      <c r="Z165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'260178332516','VOUCHER_Currency': 'PEN','VOUCHER_Amount': 30,'VOUCHER_Operacion_PSP': '4001861','VOUCHER_FECHA':'17/01/2026'},</v>
      </c>
    </row>
    <row r="166" spans="1:26" x14ac:dyDescent="0.25">
      <c r="A166" s="1">
        <v>23388</v>
      </c>
      <c r="B166" s="1" t="s">
        <v>26</v>
      </c>
      <c r="C166" s="1" t="s">
        <v>94</v>
      </c>
      <c r="D166" s="12">
        <v>46041</v>
      </c>
      <c r="E166" s="12" t="str">
        <f>+TEXT(Tabla1[[#This Row],[fecha_revision]],"mmmm")</f>
        <v>Enero</v>
      </c>
      <c r="F166" s="3">
        <v>260178184987</v>
      </c>
      <c r="G166" s="1" t="str">
        <f t="shared" ref="G166:G175" si="19">CONCATENATE("'",F166,"',")</f>
        <v>'260178184987',</v>
      </c>
      <c r="H166" s="1" t="s">
        <v>157</v>
      </c>
      <c r="I166" s="1" t="s">
        <v>362</v>
      </c>
      <c r="J166" s="1" t="str">
        <f t="shared" ref="J166:J175" si="20">CONCATENATE("'",I166,"',")</f>
        <v>'inv_hcf2dJfJxFRdSisdD6zNmN',</v>
      </c>
      <c r="K166" s="1" t="s">
        <v>10</v>
      </c>
      <c r="L166" s="1">
        <v>60</v>
      </c>
      <c r="M166" s="1">
        <v>60</v>
      </c>
      <c r="N166" s="14">
        <f t="shared" si="18"/>
        <v>0</v>
      </c>
      <c r="O166" s="1" t="s">
        <v>30</v>
      </c>
      <c r="P166" s="4" t="s">
        <v>163</v>
      </c>
      <c r="Q166" s="13">
        <v>4001585</v>
      </c>
      <c r="R166" s="31" t="s">
        <v>340</v>
      </c>
      <c r="S166" s="4" t="s">
        <v>32</v>
      </c>
      <c r="T166" s="5"/>
      <c r="U166" s="1"/>
      <c r="V166" s="1"/>
      <c r="W166" s="1"/>
      <c r="X166" s="1"/>
      <c r="Y16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'260178184987','VOUCHER_Currency': 'PEN','VOUCHER_Amount': 60,'VOUCHER_Operacion_PSP': '4001585','VOUCHER_FECHA':'16/01/2026'},</v>
      </c>
      <c r="Z166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'260178184987','VOUCHER_Currency': 'PEN','VOUCHER_Amount': 60,'VOUCHER_Operacion_PSP': '4001585','VOUCHER_FECHA':'16/01/2026'},</v>
      </c>
    </row>
    <row r="167" spans="1:26" x14ac:dyDescent="0.25">
      <c r="A167" s="1">
        <v>23388</v>
      </c>
      <c r="B167" s="1" t="s">
        <v>26</v>
      </c>
      <c r="C167" s="1" t="s">
        <v>33</v>
      </c>
      <c r="D167" s="12">
        <v>46041</v>
      </c>
      <c r="E167" s="12" t="str">
        <f>+TEXT(Tabla1[[#This Row],[fecha_revision]],"mmmm")</f>
        <v>Enero</v>
      </c>
      <c r="F167" s="3">
        <v>260178180583</v>
      </c>
      <c r="G167" s="1" t="str">
        <f t="shared" si="19"/>
        <v>'260178180583',</v>
      </c>
      <c r="H167" s="1" t="s">
        <v>157</v>
      </c>
      <c r="I167" s="1" t="s">
        <v>363</v>
      </c>
      <c r="J167" s="1" t="str">
        <f t="shared" si="20"/>
        <v>'inv_cXkpc8UJL7KSsUGXvnnXzn',</v>
      </c>
      <c r="K167" s="1" t="s">
        <v>10</v>
      </c>
      <c r="L167" s="1">
        <v>100</v>
      </c>
      <c r="M167" s="1">
        <v>100</v>
      </c>
      <c r="N167" s="14">
        <f t="shared" si="18"/>
        <v>0</v>
      </c>
      <c r="O167" s="1" t="s">
        <v>30</v>
      </c>
      <c r="P167" s="4" t="s">
        <v>163</v>
      </c>
      <c r="Q167" s="13">
        <v>4001569</v>
      </c>
      <c r="R167" s="31" t="s">
        <v>340</v>
      </c>
      <c r="S167" s="4" t="s">
        <v>32</v>
      </c>
      <c r="T167" s="5"/>
      <c r="U167" s="1"/>
      <c r="V167" s="1"/>
      <c r="W167" s="1"/>
      <c r="X167" s="1"/>
      <c r="Y16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'260178180583','VOUCHER_Currency': 'PEN','VOUCHER_Amount': 100,'VOUCHER_Operacion_PSP': '4001569','VOUCHER_FECHA':'16/01/2026'},</v>
      </c>
      <c r="Z167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'260178180583','VOUCHER_Currency': 'PEN','VOUCHER_Amount': 100,'VOUCHER_Operacion_PSP': '4001569','VOUCHER_FECHA':'16/01/2026'},</v>
      </c>
    </row>
    <row r="168" spans="1:26" x14ac:dyDescent="0.25">
      <c r="A168" s="1">
        <v>23388</v>
      </c>
      <c r="B168" s="1" t="s">
        <v>26</v>
      </c>
      <c r="C168" s="1" t="s">
        <v>50</v>
      </c>
      <c r="D168" s="12">
        <v>46041</v>
      </c>
      <c r="E168" s="12" t="str">
        <f>+TEXT(Tabla1[[#This Row],[fecha_revision]],"mmmm")</f>
        <v>Enero</v>
      </c>
      <c r="F168" s="3">
        <v>253056548653</v>
      </c>
      <c r="G168" s="1" t="str">
        <f t="shared" si="19"/>
        <v>'253056548653',</v>
      </c>
      <c r="H168" s="1" t="s">
        <v>42</v>
      </c>
      <c r="I168" s="1" t="s">
        <v>364</v>
      </c>
      <c r="J168" s="1" t="str">
        <f t="shared" si="20"/>
        <v>'inv_VLihiSBXTsSnMA7o95DjqG',</v>
      </c>
      <c r="K168" s="1" t="s">
        <v>10</v>
      </c>
      <c r="L168" s="1">
        <v>118</v>
      </c>
      <c r="M168" s="1">
        <v>118</v>
      </c>
      <c r="N168" s="14">
        <f t="shared" si="18"/>
        <v>0</v>
      </c>
      <c r="O168" s="1" t="s">
        <v>30</v>
      </c>
      <c r="P168" s="4" t="s">
        <v>163</v>
      </c>
      <c r="Q168" s="13">
        <v>4001791</v>
      </c>
      <c r="R168" s="31" t="s">
        <v>361</v>
      </c>
      <c r="S168" s="4" t="s">
        <v>32</v>
      </c>
      <c r="T168" s="5"/>
      <c r="U168" s="1"/>
      <c r="V168" s="1"/>
      <c r="W168" s="1"/>
      <c r="X168" s="1"/>
      <c r="Y16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'253056548653','VOUCHER_Currency': 'PEN','VOUCHER_Amount': 118,'VOUCHER_Operacion_PSP': '4001791','VOUCHER_FECHA':'17/01/2026'},</v>
      </c>
      <c r="Z168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'253056548653','VOUCHER_Currency': 'PEN','VOUCHER_Amount': 118,'VOUCHER_Operacion_PSP': '4001791','VOUCHER_FECHA':'17/01/2026'},</v>
      </c>
    </row>
    <row r="169" spans="1:26" x14ac:dyDescent="0.25">
      <c r="A169" s="1">
        <v>23388</v>
      </c>
      <c r="B169" s="1" t="s">
        <v>26</v>
      </c>
      <c r="C169" s="1" t="s">
        <v>94</v>
      </c>
      <c r="D169" s="12">
        <v>46041</v>
      </c>
      <c r="E169" s="12" t="str">
        <f>+TEXT(Tabla1[[#This Row],[fecha_revision]],"mmmm")</f>
        <v>Enero</v>
      </c>
      <c r="F169" s="3">
        <v>260178160022</v>
      </c>
      <c r="G169" s="1" t="str">
        <f t="shared" si="19"/>
        <v>'260178160022',</v>
      </c>
      <c r="H169" s="1" t="s">
        <v>157</v>
      </c>
      <c r="I169" s="1" t="s">
        <v>365</v>
      </c>
      <c r="J169" s="1" t="str">
        <f t="shared" si="20"/>
        <v>'inv_oEKJsv7MXncEzYFfkbQDTt',</v>
      </c>
      <c r="K169" s="1" t="s">
        <v>10</v>
      </c>
      <c r="L169" s="1">
        <v>200</v>
      </c>
      <c r="M169" s="1">
        <v>200</v>
      </c>
      <c r="N169" s="14">
        <f t="shared" si="18"/>
        <v>0</v>
      </c>
      <c r="O169" s="1" t="s">
        <v>30</v>
      </c>
      <c r="P169" s="4" t="s">
        <v>163</v>
      </c>
      <c r="Q169" s="13">
        <v>4001504</v>
      </c>
      <c r="R169" s="31" t="s">
        <v>340</v>
      </c>
      <c r="S169" s="4" t="s">
        <v>32</v>
      </c>
      <c r="T169" s="5"/>
      <c r="U169" s="1"/>
      <c r="V169" s="1"/>
      <c r="W169" s="1"/>
      <c r="X169" s="1"/>
      <c r="Y16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'260178160022','VOUCHER_Currency': 'PEN','VOUCHER_Amount': 200,'VOUCHER_Operacion_PSP': '4001504','VOUCHER_FECHA':'16/01/2026'},</v>
      </c>
      <c r="Z169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'260178160022','VOUCHER_Currency': 'PEN','VOUCHER_Amount': 200,'VOUCHER_Operacion_PSP': '4001504','VOUCHER_FECHA':'16/01/2026'},</v>
      </c>
    </row>
    <row r="170" spans="1:26" x14ac:dyDescent="0.25">
      <c r="A170" s="1">
        <v>23388</v>
      </c>
      <c r="B170" s="1" t="s">
        <v>26</v>
      </c>
      <c r="C170" s="1" t="s">
        <v>27</v>
      </c>
      <c r="D170" s="12">
        <v>46041</v>
      </c>
      <c r="E170" s="12" t="str">
        <f>+TEXT(Tabla1[[#This Row],[fecha_revision]],"mmmm")</f>
        <v>Enero</v>
      </c>
      <c r="F170" s="3">
        <v>260178163684</v>
      </c>
      <c r="G170" s="1" t="str">
        <f t="shared" si="19"/>
        <v>'260178163684',</v>
      </c>
      <c r="H170" s="1" t="s">
        <v>157</v>
      </c>
      <c r="I170" s="1" t="s">
        <v>366</v>
      </c>
      <c r="J170" s="1" t="str">
        <f t="shared" si="20"/>
        <v>'inv_cuiVGtDrzC5cVMzaGP4QfE',</v>
      </c>
      <c r="K170" s="1" t="s">
        <v>10</v>
      </c>
      <c r="L170" s="1">
        <v>250</v>
      </c>
      <c r="M170" s="1">
        <v>250</v>
      </c>
      <c r="N170" s="14">
        <f t="shared" si="18"/>
        <v>0</v>
      </c>
      <c r="O170" s="1" t="s">
        <v>30</v>
      </c>
      <c r="P170" s="4" t="s">
        <v>163</v>
      </c>
      <c r="Q170" s="13">
        <v>4001519</v>
      </c>
      <c r="R170" s="31" t="s">
        <v>340</v>
      </c>
      <c r="S170" s="4" t="s">
        <v>32</v>
      </c>
      <c r="T170" s="5"/>
      <c r="U170" s="1"/>
      <c r="V170" s="1"/>
      <c r="W170" s="1"/>
      <c r="X170" s="1"/>
      <c r="Y17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'260178163684','VOUCHER_Currency': 'PEN','VOUCHER_Amount': 250,'VOUCHER_Operacion_PSP': '4001519','VOUCHER_FECHA':'16/01/2026'},</v>
      </c>
      <c r="Z170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'260178163684','VOUCHER_Currency': 'PEN','VOUCHER_Amount': 250,'VOUCHER_Operacion_PSP': '4001519','VOUCHER_FECHA':'16/01/2026'},</v>
      </c>
    </row>
    <row r="171" spans="1:26" x14ac:dyDescent="0.25">
      <c r="A171" s="1">
        <v>23388</v>
      </c>
      <c r="B171" s="1" t="s">
        <v>26</v>
      </c>
      <c r="C171" s="1" t="s">
        <v>367</v>
      </c>
      <c r="D171" s="12">
        <v>46041</v>
      </c>
      <c r="E171" s="12" t="str">
        <f>+TEXT(Tabla1[[#This Row],[fecha_revision]],"mmmm")</f>
        <v>Enero</v>
      </c>
      <c r="F171" s="3">
        <v>260053388255</v>
      </c>
      <c r="G171" s="1" t="str">
        <f t="shared" si="19"/>
        <v>'260053388255',</v>
      </c>
      <c r="H171" s="1" t="s">
        <v>42</v>
      </c>
      <c r="I171" s="1" t="s">
        <v>368</v>
      </c>
      <c r="J171" s="1" t="str">
        <f t="shared" si="20"/>
        <v>'inv_TnDxQP2xKSMSwRVpghgr3h',</v>
      </c>
      <c r="K171" s="1" t="s">
        <v>10</v>
      </c>
      <c r="L171" s="1">
        <v>289.16000000000003</v>
      </c>
      <c r="M171" s="1">
        <v>289.16000000000003</v>
      </c>
      <c r="N171" s="14">
        <f t="shared" si="18"/>
        <v>0</v>
      </c>
      <c r="O171" s="1" t="s">
        <v>30</v>
      </c>
      <c r="P171" s="4" t="s">
        <v>163</v>
      </c>
      <c r="Q171" s="13">
        <v>4001587</v>
      </c>
      <c r="R171" s="31" t="s">
        <v>340</v>
      </c>
      <c r="S171" s="4" t="s">
        <v>32</v>
      </c>
      <c r="T171" s="5"/>
      <c r="U171" s="1"/>
      <c r="V171" s="1"/>
      <c r="W171" s="1"/>
      <c r="X171" s="1"/>
      <c r="Y17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'260053388255','VOUCHER_Currency': 'PEN','VOUCHER_Amount': 289.16,'VOUCHER_Operacion_PSP': '4001587','VOUCHER_FECHA':'16/01/2026'},</v>
      </c>
      <c r="Z17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'260053388255','VOUCHER_Currency': 'PEN','VOUCHER_Amount': 289.16,'VOUCHER_Operacion_PSP': '4001587','VOUCHER_FECHA':'16/01/2026'},</v>
      </c>
    </row>
    <row r="172" spans="1:26" x14ac:dyDescent="0.25">
      <c r="A172" s="1">
        <v>23388</v>
      </c>
      <c r="B172" s="1" t="s">
        <v>26</v>
      </c>
      <c r="C172" s="1" t="s">
        <v>369</v>
      </c>
      <c r="D172" s="12">
        <v>46041</v>
      </c>
      <c r="E172" s="12" t="str">
        <f>+TEXT(Tabla1[[#This Row],[fecha_revision]],"mmmm")</f>
        <v>Enero</v>
      </c>
      <c r="F172" s="3">
        <v>260029758336</v>
      </c>
      <c r="G172" s="1" t="str">
        <f t="shared" si="19"/>
        <v>'260029758336',</v>
      </c>
      <c r="H172" s="1" t="s">
        <v>42</v>
      </c>
      <c r="I172" s="1" t="s">
        <v>370</v>
      </c>
      <c r="J172" s="1" t="str">
        <f t="shared" si="20"/>
        <v>'inv_2Epg7M2C4AUURrCipMf2E6',</v>
      </c>
      <c r="K172" s="1" t="s">
        <v>10</v>
      </c>
      <c r="L172" s="1">
        <v>345.58</v>
      </c>
      <c r="M172" s="1">
        <v>345.58</v>
      </c>
      <c r="N172" s="14">
        <f t="shared" si="18"/>
        <v>0</v>
      </c>
      <c r="O172" s="1" t="s">
        <v>30</v>
      </c>
      <c r="P172" s="4" t="s">
        <v>163</v>
      </c>
      <c r="Q172" s="13">
        <v>4001852</v>
      </c>
      <c r="R172" s="31" t="s">
        <v>361</v>
      </c>
      <c r="S172" s="4" t="s">
        <v>32</v>
      </c>
      <c r="T172" s="5"/>
      <c r="U172" s="1"/>
      <c r="V172" s="1"/>
      <c r="W172" s="1"/>
      <c r="X172" s="1"/>
      <c r="Y17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'260029758336','VOUCHER_Currency': 'PEN','VOUCHER_Amount': 345.58,'VOUCHER_Operacion_PSP': '4001852','VOUCHER_FECHA':'17/01/2026'},</v>
      </c>
      <c r="Z17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'260029758336','VOUCHER_Currency': 'PEN','VOUCHER_Amount': 345.58,'VOUCHER_Operacion_PSP': '4001852','VOUCHER_FECHA':'17/01/2026'},</v>
      </c>
    </row>
    <row r="173" spans="1:26" x14ac:dyDescent="0.25">
      <c r="A173" s="1">
        <v>23388</v>
      </c>
      <c r="B173" s="1" t="s">
        <v>26</v>
      </c>
      <c r="C173" s="1" t="s">
        <v>371</v>
      </c>
      <c r="D173" s="12">
        <v>46041</v>
      </c>
      <c r="E173" s="12" t="str">
        <f>+TEXT(Tabla1[[#This Row],[fecha_revision]],"mmmm")</f>
        <v>Enero</v>
      </c>
      <c r="F173" s="3">
        <v>260156037695</v>
      </c>
      <c r="G173" s="1" t="str">
        <f t="shared" si="19"/>
        <v>'260156037695',</v>
      </c>
      <c r="H173" s="1" t="s">
        <v>54</v>
      </c>
      <c r="I173" s="1" t="s">
        <v>372</v>
      </c>
      <c r="J173" s="1" t="str">
        <f t="shared" si="20"/>
        <v>'inv_i26JMvhKYNotiBwJ7owmhT',</v>
      </c>
      <c r="K173" s="1" t="s">
        <v>10</v>
      </c>
      <c r="L173" s="1">
        <v>489.01</v>
      </c>
      <c r="M173" s="1">
        <v>489.01</v>
      </c>
      <c r="N173" s="14">
        <f t="shared" si="18"/>
        <v>0</v>
      </c>
      <c r="O173" s="1" t="s">
        <v>30</v>
      </c>
      <c r="P173" s="4" t="s">
        <v>163</v>
      </c>
      <c r="Q173" s="13">
        <v>4001783</v>
      </c>
      <c r="R173" s="31" t="s">
        <v>361</v>
      </c>
      <c r="S173" s="4" t="s">
        <v>32</v>
      </c>
      <c r="T173" s="5"/>
      <c r="U173" s="1"/>
      <c r="V173" s="1"/>
      <c r="W173" s="1"/>
      <c r="X173" s="1"/>
      <c r="Y17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'260156037695','VOUCHER_Currency': 'PEN','VOUCHER_Amount': 489.01,'VOUCHER_Operacion_PSP': '4001783','VOUCHER_FECHA':'17/01/2026'},</v>
      </c>
      <c r="Z17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'260156037695','VOUCHER_Currency': 'PEN','VOUCHER_Amount': 489.01,'VOUCHER_Operacion_PSP': '4001783','VOUCHER_FECHA':'17/01/2026'},</v>
      </c>
    </row>
    <row r="174" spans="1:26" x14ac:dyDescent="0.25">
      <c r="A174" s="1">
        <v>23388</v>
      </c>
      <c r="B174" s="1" t="s">
        <v>26</v>
      </c>
      <c r="C174" s="1" t="s">
        <v>27</v>
      </c>
      <c r="D174" s="12">
        <v>46041</v>
      </c>
      <c r="E174" s="12" t="str">
        <f>+TEXT(Tabla1[[#This Row],[fecha_revision]],"mmmm")</f>
        <v>Enero</v>
      </c>
      <c r="F174" s="3">
        <v>260178220627</v>
      </c>
      <c r="G174" s="1" t="str">
        <f t="shared" si="19"/>
        <v>'260178220627',</v>
      </c>
      <c r="H174" s="1" t="s">
        <v>157</v>
      </c>
      <c r="I174" s="1" t="s">
        <v>373</v>
      </c>
      <c r="J174" s="1" t="str">
        <f t="shared" si="20"/>
        <v>'inv_QuJS986Lo5GmTVwhT4kY4K',</v>
      </c>
      <c r="K174" s="1" t="s">
        <v>10</v>
      </c>
      <c r="L174" s="32">
        <v>1500</v>
      </c>
      <c r="M174" s="1">
        <v>1500</v>
      </c>
      <c r="N174" s="14">
        <f t="shared" si="18"/>
        <v>0</v>
      </c>
      <c r="O174" s="1" t="s">
        <v>30</v>
      </c>
      <c r="P174" s="4" t="s">
        <v>163</v>
      </c>
      <c r="Q174" s="13">
        <v>4001601</v>
      </c>
      <c r="R174" s="31" t="s">
        <v>361</v>
      </c>
      <c r="S174" s="4" t="s">
        <v>32</v>
      </c>
      <c r="T174" s="5"/>
      <c r="U174" s="1"/>
      <c r="V174" s="1"/>
      <c r="W174" s="1"/>
      <c r="X174" s="1"/>
      <c r="Y17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'260178220627','VOUCHER_Currency': 'PEN','VOUCHER_Amount': 1500,'VOUCHER_Operacion_PSP': '4001601','VOUCHER_FECHA':'17/01/2026'},</v>
      </c>
      <c r="Z17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'260178220627','VOUCHER_Currency': 'PEN','VOUCHER_Amount': 1500,'VOUCHER_Operacion_PSP': '4001601','VOUCHER_FECHA':'17/01/2026'},</v>
      </c>
    </row>
    <row r="175" spans="1:26" x14ac:dyDescent="0.25">
      <c r="A175" s="1">
        <v>23388</v>
      </c>
      <c r="B175" s="1" t="s">
        <v>26</v>
      </c>
      <c r="C175" s="1" t="s">
        <v>338</v>
      </c>
      <c r="D175" s="12">
        <v>46041</v>
      </c>
      <c r="E175" s="12" t="str">
        <f>+TEXT(Tabla1[[#This Row],[fecha_revision]],"mmmm")</f>
        <v>Enero</v>
      </c>
      <c r="F175" s="3">
        <v>260178160381</v>
      </c>
      <c r="G175" s="1" t="str">
        <f t="shared" si="19"/>
        <v>'260178160381',</v>
      </c>
      <c r="H175" s="1" t="s">
        <v>157</v>
      </c>
      <c r="I175" s="1" t="s">
        <v>374</v>
      </c>
      <c r="J175" s="1" t="str">
        <f t="shared" si="20"/>
        <v>'inv_8M7ibqHJyvpmhxozuoctNN',</v>
      </c>
      <c r="K175" s="1" t="s">
        <v>10</v>
      </c>
      <c r="L175" s="32">
        <v>1750</v>
      </c>
      <c r="M175" s="1">
        <v>1750</v>
      </c>
      <c r="N175" s="14">
        <f t="shared" si="18"/>
        <v>0</v>
      </c>
      <c r="O175" s="1" t="s">
        <v>30</v>
      </c>
      <c r="P175" s="4" t="s">
        <v>163</v>
      </c>
      <c r="Q175" s="13">
        <v>4001534</v>
      </c>
      <c r="R175" s="31" t="s">
        <v>340</v>
      </c>
      <c r="S175" s="4" t="s">
        <v>32</v>
      </c>
      <c r="T175" s="5"/>
      <c r="U175" s="1"/>
      <c r="V175" s="1"/>
      <c r="W175" s="1"/>
      <c r="X175" s="1"/>
      <c r="Y17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'260178160381','VOUCHER_Currency': 'PEN','VOUCHER_Amount': 1750,'VOUCHER_Operacion_PSP': '4001534','VOUCHER_FECHA':'16/01/2026'},</v>
      </c>
      <c r="Z175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'260178160381','VOUCHER_Currency': 'PEN','VOUCHER_Amount': 1750,'VOUCHER_Operacion_PSP': '4001534','VOUCHER_FECHA':'16/01/2026'},</v>
      </c>
    </row>
    <row r="176" spans="1:26" x14ac:dyDescent="0.25">
      <c r="A176" s="14">
        <v>23459</v>
      </c>
      <c r="B176" s="14" t="s">
        <v>26</v>
      </c>
      <c r="C176" s="1" t="s">
        <v>64</v>
      </c>
      <c r="D176" s="15">
        <v>46043</v>
      </c>
      <c r="E176" s="15" t="str">
        <f>+TEXT(Tabla1[[#This Row],[fecha_revision]],"mmmm")</f>
        <v>Enero</v>
      </c>
      <c r="F176" s="16">
        <v>260201813291</v>
      </c>
      <c r="G176" s="14" t="str">
        <f>CONCATENATE("'",F176,"',")</f>
        <v>'260201813291',</v>
      </c>
      <c r="H176" s="14" t="s">
        <v>34</v>
      </c>
      <c r="I176" s="14" t="s">
        <v>375</v>
      </c>
      <c r="J176" s="14" t="str">
        <f>CONCATENATE("'",I176,"',")</f>
        <v>'inv_jpB9qiyAYFpxszwp9WygTA',</v>
      </c>
      <c r="K176" s="14" t="s">
        <v>10</v>
      </c>
      <c r="L176" s="14">
        <v>94.4</v>
      </c>
      <c r="M176" s="14">
        <v>94.4</v>
      </c>
      <c r="N176" s="14">
        <f t="shared" ref="N176:N183" si="21">+L176-M176</f>
        <v>0</v>
      </c>
      <c r="O176" s="14" t="s">
        <v>30</v>
      </c>
      <c r="P176" s="17" t="s">
        <v>31</v>
      </c>
      <c r="Q176" s="18">
        <v>3306167</v>
      </c>
      <c r="R176" s="15">
        <v>46042</v>
      </c>
      <c r="S176" s="17" t="s">
        <v>32</v>
      </c>
      <c r="T176" s="19"/>
      <c r="U176" s="14"/>
      <c r="V176" s="14"/>
      <c r="W176" s="14"/>
      <c r="X176" s="14"/>
      <c r="Y176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'260201813291','VOUCHER_Currency': 'PEN','VOUCHER_Amount': 94.4,'VOUCHER_Operacion_PSP': '3306167','VOUCHER_FECHA':'46042'},</v>
      </c>
      <c r="Z176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'260201813291','VOUCHER_Currency': 'PEN','VOUCHER_Amount': 94.4,'VOUCHER_Operacion_PSP': '3306167','VOUCHER_FECHA':'46042'},</v>
      </c>
    </row>
    <row r="177" spans="1:26" x14ac:dyDescent="0.25">
      <c r="A177" s="14" t="s">
        <v>39</v>
      </c>
      <c r="B177" s="14" t="s">
        <v>40</v>
      </c>
      <c r="C177" s="14" t="s">
        <v>33</v>
      </c>
      <c r="D177" s="15">
        <v>46045</v>
      </c>
      <c r="E177" s="15" t="str">
        <f>+TEXT(Tabla1[[#This Row],[fecha_revision]],"mmmm")</f>
        <v>Enero</v>
      </c>
      <c r="F177" s="16" t="s">
        <v>376</v>
      </c>
      <c r="G177" s="14" t="str">
        <f>CONCATENATE("'",F177,"',")</f>
        <v>'260235544666',</v>
      </c>
      <c r="H177" s="14" t="s">
        <v>28</v>
      </c>
      <c r="I177" s="14" t="s">
        <v>377</v>
      </c>
      <c r="J177" s="14" t="str">
        <f>CONCATENATE("'",I177,"',")</f>
        <v>'inv_8ddUAm9FNs8NcwNsQB7TNm',</v>
      </c>
      <c r="K177" s="14" t="s">
        <v>10</v>
      </c>
      <c r="L177" s="14">
        <v>30</v>
      </c>
      <c r="M177" s="14">
        <v>30</v>
      </c>
      <c r="N177" s="14">
        <f t="shared" si="21"/>
        <v>0</v>
      </c>
      <c r="O177" s="14" t="s">
        <v>30</v>
      </c>
      <c r="P177" s="17" t="s">
        <v>31</v>
      </c>
      <c r="Q177" s="18" t="s">
        <v>378</v>
      </c>
      <c r="R177" s="15">
        <v>46045</v>
      </c>
      <c r="S177" s="17" t="s">
        <v>32</v>
      </c>
      <c r="T177" s="19"/>
      <c r="U177" s="14"/>
      <c r="V177" s="14"/>
      <c r="W177" s="14"/>
      <c r="X177" s="14"/>
      <c r="Y177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'260235544666','VOUCHER_Currency': 'PEN','VOUCHER_Amount': 30,'VOUCHER_Operacion_PSP': '412470','VOUCHER_FECHA':'46045'},</v>
      </c>
      <c r="Z177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'260235544666','VOUCHER_Currency': 'PEN','VOUCHER_Amount': 30,'VOUCHER_Operacion_PSP': '412470','VOUCHER_FECHA':'46045'},</v>
      </c>
    </row>
    <row r="178" spans="1:26" x14ac:dyDescent="0.25">
      <c r="A178" s="14" t="s">
        <v>39</v>
      </c>
      <c r="B178" s="14" t="s">
        <v>40</v>
      </c>
      <c r="C178" s="14" t="s">
        <v>27</v>
      </c>
      <c r="D178" s="15">
        <v>46045</v>
      </c>
      <c r="E178" s="15" t="str">
        <f>+TEXT(Tabla1[[#This Row],[fecha_revision]],"mmmm")</f>
        <v>Enero</v>
      </c>
      <c r="F178" s="16" t="s">
        <v>379</v>
      </c>
      <c r="G178" s="14" t="str">
        <f>CONCATENATE("'",F178,"',")</f>
        <v>'260235564235',</v>
      </c>
      <c r="H178" s="14" t="s">
        <v>28</v>
      </c>
      <c r="I178" s="14" t="s">
        <v>380</v>
      </c>
      <c r="J178" s="14" t="str">
        <f>CONCATENATE("'",I178,"',")</f>
        <v>'inv_LUxkLFMFZgbmbVbyce4DwZ',</v>
      </c>
      <c r="K178" s="14" t="s">
        <v>10</v>
      </c>
      <c r="L178" s="14">
        <v>50</v>
      </c>
      <c r="M178" s="14">
        <v>50</v>
      </c>
      <c r="N178" s="14">
        <f t="shared" si="21"/>
        <v>0</v>
      </c>
      <c r="O178" s="14" t="s">
        <v>30</v>
      </c>
      <c r="P178" s="17" t="s">
        <v>31</v>
      </c>
      <c r="Q178" s="18" t="s">
        <v>381</v>
      </c>
      <c r="R178" s="15">
        <v>46045</v>
      </c>
      <c r="S178" s="17" t="s">
        <v>32</v>
      </c>
      <c r="T178" s="19"/>
      <c r="U178" s="14"/>
      <c r="V178" s="14"/>
      <c r="W178" s="14"/>
      <c r="X178" s="14"/>
      <c r="Y178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'260235564235','VOUCHER_Currency': 'PEN','VOUCHER_Amount': 50,'VOUCHER_Operacion_PSP': '427646','VOUCHER_FECHA':'46045'},</v>
      </c>
      <c r="Z178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'260235564235','VOUCHER_Currency': 'PEN','VOUCHER_Amount': 50,'VOUCHER_Operacion_PSP': '427646','VOUCHER_FECHA':'46045'},</v>
      </c>
    </row>
    <row r="179" spans="1:26" x14ac:dyDescent="0.25">
      <c r="A179" s="14" t="s">
        <v>39</v>
      </c>
      <c r="B179" s="14" t="s">
        <v>40</v>
      </c>
      <c r="C179" s="14" t="s">
        <v>33</v>
      </c>
      <c r="D179" s="15">
        <v>46045</v>
      </c>
      <c r="E179" s="15" t="str">
        <f>+TEXT(Tabla1[[#This Row],[fecha_revision]],"mmmm")</f>
        <v>Enero</v>
      </c>
      <c r="F179" s="16" t="s">
        <v>382</v>
      </c>
      <c r="G179" s="14" t="str">
        <f>CONCATENATE("'",F179,"',")</f>
        <v>'260235564208',</v>
      </c>
      <c r="H179" s="14" t="s">
        <v>34</v>
      </c>
      <c r="I179" s="14" t="s">
        <v>383</v>
      </c>
      <c r="J179" s="14" t="str">
        <f>CONCATENATE("'",I179,"',")</f>
        <v>'inv_L7D7aZAd4xNsud99UEYGKq',</v>
      </c>
      <c r="K179" s="14" t="s">
        <v>10</v>
      </c>
      <c r="L179" s="14">
        <v>50</v>
      </c>
      <c r="M179" s="14">
        <v>50</v>
      </c>
      <c r="N179" s="14">
        <f t="shared" si="21"/>
        <v>0</v>
      </c>
      <c r="O179" s="14" t="s">
        <v>30</v>
      </c>
      <c r="P179" s="17" t="s">
        <v>31</v>
      </c>
      <c r="Q179" s="18" t="s">
        <v>384</v>
      </c>
      <c r="R179" s="15">
        <v>46045</v>
      </c>
      <c r="S179" s="17" t="s">
        <v>32</v>
      </c>
      <c r="T179" s="19"/>
      <c r="U179" s="14"/>
      <c r="V179" s="14"/>
      <c r="W179" s="14"/>
      <c r="X179" s="14"/>
      <c r="Y179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'260235564208','VOUCHER_Currency': 'PEN','VOUCHER_Amount': 50,'VOUCHER_Operacion_PSP': '427754','VOUCHER_FECHA':'46045'},</v>
      </c>
      <c r="Z179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'260235564208','VOUCHER_Currency': 'PEN','VOUCHER_Amount': 50,'VOUCHER_Operacion_PSP': '427754','VOUCHER_FECHA':'46045'},</v>
      </c>
    </row>
    <row r="180" spans="1:26" x14ac:dyDescent="0.25">
      <c r="A180" s="14">
        <v>23551</v>
      </c>
      <c r="B180" s="14" t="s">
        <v>26</v>
      </c>
      <c r="C180" s="14" t="s">
        <v>94</v>
      </c>
      <c r="D180" s="15">
        <v>46045</v>
      </c>
      <c r="E180" s="15" t="str">
        <f>+TEXT(Tabla1[[#This Row],[fecha_revision]],"mmmm")</f>
        <v>Enero</v>
      </c>
      <c r="F180" s="16">
        <v>260235965472</v>
      </c>
      <c r="G180" s="14" t="str">
        <f>CONCATENATE("'",F180,"',")</f>
        <v>'260235965472',</v>
      </c>
      <c r="H180" s="14" t="s">
        <v>34</v>
      </c>
      <c r="I180" s="14" t="s">
        <v>385</v>
      </c>
      <c r="J180" s="14" t="str">
        <f>CONCATENATE("'",I180,"',")</f>
        <v>'inv_HTztRFL3zdDZtAEVHaQx5R',</v>
      </c>
      <c r="K180" s="14" t="s">
        <v>10</v>
      </c>
      <c r="L180" s="14">
        <v>410</v>
      </c>
      <c r="M180" s="14">
        <v>410</v>
      </c>
      <c r="N180" s="14">
        <f t="shared" si="21"/>
        <v>0</v>
      </c>
      <c r="O180" s="14" t="s">
        <v>30</v>
      </c>
      <c r="P180" s="17" t="s">
        <v>163</v>
      </c>
      <c r="Q180" s="18">
        <v>4022080</v>
      </c>
      <c r="R180" s="15">
        <v>46045</v>
      </c>
      <c r="S180" s="17" t="s">
        <v>32</v>
      </c>
      <c r="T180" s="19"/>
      <c r="U180" s="14"/>
      <c r="V180" s="14"/>
      <c r="W180" s="14"/>
      <c r="X180" s="14"/>
      <c r="Y180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'260235965472','VOUCHER_Currency': 'PEN','VOUCHER_Amount': 410,'VOUCHER_Operacion_PSP': '4022080','VOUCHER_FECHA':'46045'},</v>
      </c>
      <c r="Z180" s="14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{'VOUCHER_PSP':'BBVA','VOUCHER_PSP_TIN': '260235965472','VOUCHER_Currency': 'PEN','VOUCHER_Amount': 410,'VOUCHER_Operacion_PSP': '4022080','VOUCHER_FECHA':'46045'},</v>
      </c>
    </row>
    <row r="181" spans="1:26" x14ac:dyDescent="0.25">
      <c r="A181" s="14" t="s">
        <v>39</v>
      </c>
      <c r="B181" s="14" t="s">
        <v>40</v>
      </c>
      <c r="C181" s="1" t="s">
        <v>222</v>
      </c>
      <c r="D181" s="15">
        <v>46046</v>
      </c>
      <c r="E181" s="15" t="str">
        <f>+TEXT(Tabla1[[#This Row],[fecha_revision]],"mmmm")</f>
        <v>Enero</v>
      </c>
      <c r="F181" s="3">
        <v>260246827371</v>
      </c>
      <c r="G181" s="1" t="str">
        <f t="shared" ref="G181:G184" si="22">CONCATENATE("'",F181,"',")</f>
        <v>'260246827371',</v>
      </c>
      <c r="H181" s="14" t="s">
        <v>34</v>
      </c>
      <c r="I181" s="1" t="s">
        <v>386</v>
      </c>
      <c r="J181" s="1" t="str">
        <f t="shared" ref="J181:J184" si="23">CONCATENATE("'",I181,"',")</f>
        <v>'inv_GBmqbDZg6em56Zetyd6nW3',</v>
      </c>
      <c r="K181" s="14" t="s">
        <v>10</v>
      </c>
      <c r="L181" s="1">
        <v>20</v>
      </c>
      <c r="M181" s="1">
        <v>20</v>
      </c>
      <c r="N181" s="14">
        <f t="shared" si="21"/>
        <v>0</v>
      </c>
      <c r="O181" s="14" t="s">
        <v>30</v>
      </c>
      <c r="P181" s="17" t="s">
        <v>31</v>
      </c>
      <c r="Q181" s="13">
        <v>538567</v>
      </c>
      <c r="R181" s="15">
        <v>46046</v>
      </c>
      <c r="S181" s="17" t="s">
        <v>32</v>
      </c>
      <c r="T181" s="5"/>
      <c r="U181" s="1"/>
      <c r="V181" s="1"/>
      <c r="W181" s="1"/>
      <c r="X181" s="1"/>
      <c r="Y18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'260246827371','VOUCHER_Currency': 'PEN','VOUCHER_Amount': 20,'VOUCHER_Operacion_PSP': '538567','VOUCHER_FECHA':'46046'},</v>
      </c>
      <c r="Z181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'260246827371','VOUCHER_Currency': 'PEN','VOUCHER_Amount': 20,'VOUCHER_Operacion_PSP': '538567','VOUCHER_FECHA':'46046'},</v>
      </c>
    </row>
    <row r="182" spans="1:26" x14ac:dyDescent="0.25">
      <c r="A182" s="14" t="s">
        <v>39</v>
      </c>
      <c r="B182" s="14" t="s">
        <v>40</v>
      </c>
      <c r="C182" s="1" t="s">
        <v>27</v>
      </c>
      <c r="D182" s="15">
        <v>46046</v>
      </c>
      <c r="E182" s="15" t="str">
        <f>+TEXT(Tabla1[[#This Row],[fecha_revision]],"mmmm")</f>
        <v>Enero</v>
      </c>
      <c r="F182" s="3">
        <v>260246827313</v>
      </c>
      <c r="G182" s="1" t="str">
        <f t="shared" si="22"/>
        <v>'260246827313',</v>
      </c>
      <c r="H182" s="14" t="s">
        <v>34</v>
      </c>
      <c r="I182" s="1" t="s">
        <v>387</v>
      </c>
      <c r="J182" s="1" t="str">
        <f t="shared" si="23"/>
        <v>'inv_KNotayqK5FnpttuFJ7HEYw',</v>
      </c>
      <c r="K182" s="14" t="s">
        <v>10</v>
      </c>
      <c r="L182" s="1">
        <v>50</v>
      </c>
      <c r="M182" s="1">
        <v>50</v>
      </c>
      <c r="N182" s="14">
        <f t="shared" si="21"/>
        <v>0</v>
      </c>
      <c r="O182" s="14" t="s">
        <v>30</v>
      </c>
      <c r="P182" s="17" t="s">
        <v>31</v>
      </c>
      <c r="Q182" s="13">
        <v>538896</v>
      </c>
      <c r="R182" s="15">
        <v>46046</v>
      </c>
      <c r="S182" s="17" t="s">
        <v>32</v>
      </c>
      <c r="T182" s="5"/>
      <c r="U182" s="1"/>
      <c r="V182" s="1"/>
      <c r="W182" s="1"/>
      <c r="X182" s="1"/>
      <c r="Y18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'260246827313','VOUCHER_Currency': 'PEN','VOUCHER_Amount': 50,'VOUCHER_Operacion_PSP': '538896','VOUCHER_FECHA':'46046'},</v>
      </c>
      <c r="Z182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'260246827313','VOUCHER_Currency': 'PEN','VOUCHER_Amount': 50,'VOUCHER_Operacion_PSP': '538896','VOUCHER_FECHA':'46046'},</v>
      </c>
    </row>
    <row r="183" spans="1:26" x14ac:dyDescent="0.25">
      <c r="A183" s="14" t="s">
        <v>39</v>
      </c>
      <c r="B183" s="14" t="s">
        <v>40</v>
      </c>
      <c r="C183" s="1" t="s">
        <v>27</v>
      </c>
      <c r="D183" s="15">
        <v>46046</v>
      </c>
      <c r="E183" s="15" t="str">
        <f>+TEXT(Tabla1[[#This Row],[fecha_revision]],"mmmm")</f>
        <v>Enero</v>
      </c>
      <c r="F183" s="3">
        <v>260246842258</v>
      </c>
      <c r="G183" s="1" t="str">
        <f t="shared" si="22"/>
        <v>'260246842258',</v>
      </c>
      <c r="H183" s="14" t="s">
        <v>34</v>
      </c>
      <c r="I183" s="1" t="s">
        <v>388</v>
      </c>
      <c r="J183" s="1" t="str">
        <f t="shared" si="23"/>
        <v>'inv_QbTWxCUhLWsQU69VE2mJJY',</v>
      </c>
      <c r="K183" s="14" t="s">
        <v>10</v>
      </c>
      <c r="L183" s="1">
        <v>130.94</v>
      </c>
      <c r="M183" s="1">
        <v>130.94</v>
      </c>
      <c r="N183" s="14">
        <f t="shared" si="21"/>
        <v>0</v>
      </c>
      <c r="O183" s="14" t="s">
        <v>30</v>
      </c>
      <c r="P183" s="17" t="s">
        <v>31</v>
      </c>
      <c r="Q183" s="13">
        <v>615420</v>
      </c>
      <c r="R183" s="15">
        <v>46046</v>
      </c>
      <c r="S183" s="17" t="s">
        <v>32</v>
      </c>
      <c r="T183" s="5"/>
      <c r="U183" s="1"/>
      <c r="V183" s="1"/>
      <c r="W183" s="1"/>
      <c r="X183" s="1"/>
      <c r="Y18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'260246842258','VOUCHER_Currency': 'PEN','VOUCHER_Amount': 130.94,'VOUCHER_Operacion_PSP': '615420','VOUCHER_FECHA':'46046'},</v>
      </c>
      <c r="Z183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'260246842258','VOUCHER_Currency': 'PEN','VOUCHER_Amount': 130.94,'VOUCHER_Operacion_PSP': '615420','VOUCHER_FECHA':'46046'},</v>
      </c>
    </row>
    <row r="184" spans="1:26" x14ac:dyDescent="0.25">
      <c r="A184" s="1">
        <v>23573</v>
      </c>
      <c r="B184" s="1" t="s">
        <v>26</v>
      </c>
      <c r="C184" s="1" t="s">
        <v>62</v>
      </c>
      <c r="D184" s="15">
        <v>46046</v>
      </c>
      <c r="E184" s="15" t="str">
        <f>+TEXT(Tabla1[[#This Row],[fecha_revision]],"mmmm")</f>
        <v>Enero</v>
      </c>
      <c r="F184" s="3">
        <v>260247006516</v>
      </c>
      <c r="G184" s="1" t="str">
        <f t="shared" si="22"/>
        <v>'260247006516',</v>
      </c>
      <c r="H184" s="14" t="s">
        <v>34</v>
      </c>
      <c r="I184" s="1" t="s">
        <v>389</v>
      </c>
      <c r="J184" s="1" t="str">
        <f t="shared" si="23"/>
        <v>'inv_N9oDjEjWG4Fe4QREFmWXp6',</v>
      </c>
      <c r="K184" s="1" t="s">
        <v>10</v>
      </c>
      <c r="L184" s="1">
        <v>845</v>
      </c>
      <c r="M184" s="1">
        <v>845</v>
      </c>
      <c r="N184" s="14">
        <f t="shared" ref="N184" si="24">+L184-M184</f>
        <v>0</v>
      </c>
      <c r="O184" s="14" t="s">
        <v>30</v>
      </c>
      <c r="P184" s="17" t="s">
        <v>31</v>
      </c>
      <c r="Q184" s="13">
        <v>2822245</v>
      </c>
      <c r="R184" s="15">
        <v>46046</v>
      </c>
      <c r="S184" s="4" t="s">
        <v>32</v>
      </c>
      <c r="T184" s="5"/>
      <c r="U184" s="1"/>
      <c r="V184" s="1"/>
      <c r="W184" s="1"/>
      <c r="X184" s="1"/>
      <c r="Y18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'260247006516','VOUCHER_Currency': 'PEN','VOUCHER_Amount': 845,'VOUCHER_Operacion_PSP': '2822245','VOUCHER_FECHA':'46046'},</v>
      </c>
      <c r="Z184" s="1" t="str">
        <f>CONCATENATE(" {'VOUCHER_PSP':'",Tabla1[[#This Row],[Banco]],"','VOUCHER_PSP_TIN': '",Tabla1[[#This Row],[PSP_TIN]],"','VOUCHER_Currency': '",Tabla1[[#This Row],[PEN]],"','VOUCHER_Amount': ",Tabla1[[#This Row],[Monto voucher]],",'VOUCHER_Operacion_PSP': '",Tabla1[[#This Row],[Nro OP]],"','VOUCHER_FECHA':'",Tabla1[[#This Row],[VOUCHER_FECHA]],"'},")</f>
        <v xml:space="preserve"> {'VOUCHER_PSP':'BCP','VOUCHER_PSP_TIN': '260247006516','VOUCHER_Currency': 'PEN','VOUCHER_Amount': 845,'VOUCHER_Operacion_PSP': '2822245','VOUCHER_FECHA':'46046'},</v>
      </c>
    </row>
  </sheetData>
  <phoneticPr fontId="6" type="noConversion"/>
  <conditionalFormatting sqref="D93:D158">
    <cfRule type="expression" dxfId="52" priority="9">
      <formula>TEXT($D63, "MMMM") &lt;&gt; "Enero"</formula>
    </cfRule>
  </conditionalFormatting>
  <conditionalFormatting sqref="D159:D175">
    <cfRule type="expression" dxfId="51" priority="2">
      <formula>TEXT(#REF!, "MMMM") &lt;&gt; "Enero"</formula>
    </cfRule>
  </conditionalFormatting>
  <conditionalFormatting sqref="D2:E2 D3:D33">
    <cfRule type="expression" dxfId="50" priority="29">
      <formula>TEXT($D2, "MMMM") &lt;&gt; "Enero"</formula>
    </cfRule>
  </conditionalFormatting>
  <conditionalFormatting sqref="D63:E92 E121:E158">
    <cfRule type="expression" dxfId="49" priority="58">
      <formula>TEXT($D33, "MMMM") &lt;&gt; "Enero"</formula>
    </cfRule>
  </conditionalFormatting>
  <conditionalFormatting sqref="E3:E33 D34:E62 E94:E120">
    <cfRule type="expression" dxfId="48" priority="42">
      <formula>TEXT($D1048548, "MMMM") &lt;&gt; "Enero"</formula>
    </cfRule>
  </conditionalFormatting>
  <conditionalFormatting sqref="E93">
    <cfRule type="expression" dxfId="47" priority="60">
      <formula>TEXT(#REF!, "MMMM") &lt;&gt; "Enero"</formula>
    </cfRule>
  </conditionalFormatting>
  <conditionalFormatting sqref="E159:E175">
    <cfRule type="expression" dxfId="46" priority="3">
      <formula>TEXT(#REF!, "MMMM") &lt;&gt; "Enero"</formula>
    </cfRule>
  </conditionalFormatting>
  <conditionalFormatting sqref="F1 F3:F158">
    <cfRule type="duplicateValues" dxfId="45" priority="100"/>
  </conditionalFormatting>
  <conditionalFormatting sqref="F1">
    <cfRule type="duplicateValues" dxfId="44" priority="49"/>
    <cfRule type="duplicateValues" dxfId="43" priority="50"/>
    <cfRule type="duplicateValues" dxfId="42" priority="51"/>
  </conditionalFormatting>
  <conditionalFormatting sqref="F1:F1048576">
    <cfRule type="duplicateValues" dxfId="41" priority="1"/>
  </conditionalFormatting>
  <conditionalFormatting sqref="F2">
    <cfRule type="duplicateValues" dxfId="40" priority="27"/>
    <cfRule type="duplicateValues" dxfId="39" priority="30"/>
    <cfRule type="duplicateValues" dxfId="38" priority="32"/>
    <cfRule type="duplicateValues" dxfId="37" priority="33"/>
    <cfRule type="duplicateValues" dxfId="36" priority="34"/>
    <cfRule type="duplicateValues" dxfId="35" priority="35"/>
  </conditionalFormatting>
  <conditionalFormatting sqref="F3:F158">
    <cfRule type="duplicateValues" dxfId="34" priority="105"/>
    <cfRule type="duplicateValues" dxfId="33" priority="106"/>
    <cfRule type="duplicateValues" dxfId="32" priority="107"/>
    <cfRule type="duplicateValues" dxfId="31" priority="108"/>
  </conditionalFormatting>
  <conditionalFormatting sqref="L2:L42 L44:L158 M69:M70">
    <cfRule type="cellIs" dxfId="30" priority="31" operator="greaterThan">
      <formula>1000</formula>
    </cfRule>
  </conditionalFormatting>
  <conditionalFormatting sqref="L2:M2">
    <cfRule type="cellIs" dxfId="29" priority="28" operator="greaterThan">
      <formula>500</formula>
    </cfRule>
  </conditionalFormatting>
  <conditionalFormatting sqref="M5">
    <cfRule type="cellIs" dxfId="28" priority="26" operator="greaterThan">
      <formula>1000</formula>
    </cfRule>
  </conditionalFormatting>
  <conditionalFormatting sqref="M34">
    <cfRule type="cellIs" dxfId="27" priority="25" operator="greaterThan">
      <formula>1000</formula>
    </cfRule>
  </conditionalFormatting>
  <conditionalFormatting sqref="R73:R128">
    <cfRule type="expression" dxfId="26" priority="4">
      <formula>TEXT($D43, "MMMM") &lt;&gt; "Enero"</formula>
    </cfRule>
  </conditionalFormatting>
  <dataValidations disablePrompts="1" count="1">
    <dataValidation type="list" allowBlank="1" showInputMessage="1" showErrorMessage="1" sqref="B1:B42 B44:B158 B160:B175" xr:uid="{3C222822-E2D5-4DF9-AEEB-D6F92B481D1D}">
      <formula1>"EECC, Ticket, CREP"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A5D28FBB-4308-4EC7-8AA4-B3F04A22455B}">
          <x14:formula1>
            <xm:f>DSN_EMPRESAS!$A$2:$A$100</xm:f>
          </x14:formula1>
          <xm:sqref>C3:C42 C44:C158 C160 C176</xm:sqref>
        </x14:dataValidation>
        <x14:dataValidation type="list" allowBlank="1" showInputMessage="1" showErrorMessage="1" xr:uid="{E9569B13-E925-463A-8889-FB2F95726294}">
          <x14:formula1>
            <xm:f>DSN_ESTADO!$A$2:$A$8</xm:f>
          </x14:formula1>
          <xm:sqref>H3:H158</xm:sqref>
        </x14:dataValidation>
        <x14:dataValidation type="list" allowBlank="1" showInputMessage="1" showErrorMessage="1" xr:uid="{9905603D-3379-4217-A95F-1470F0A2A8C6}">
          <x14:formula1>
            <xm:f>DSN_RONDAS!$A$2:$A$13</xm:f>
          </x14:formula1>
          <xm:sqref>T3:T158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5148-7717-453B-AD05-1D66C24FEEDF}">
  <dimension ref="A1:AA2"/>
  <sheetViews>
    <sheetView workbookViewId="0">
      <selection activeCell="G5" sqref="G5"/>
    </sheetView>
  </sheetViews>
  <sheetFormatPr baseColWidth="10" defaultColWidth="11.42578125" defaultRowHeight="15" x14ac:dyDescent="0.25"/>
  <cols>
    <col min="3" max="3" width="16.28515625" bestFit="1" customWidth="1"/>
    <col min="4" max="4" width="13" bestFit="1" customWidth="1"/>
    <col min="5" max="5" width="19.85546875" bestFit="1" customWidth="1"/>
    <col min="7" max="7" width="23.5703125" bestFit="1" customWidth="1"/>
    <col min="8" max="8" width="25" bestFit="1" customWidth="1"/>
    <col min="9" max="14" width="17.85546875" customWidth="1"/>
    <col min="16" max="16" width="14" bestFit="1" customWidth="1"/>
    <col min="17" max="17" width="12.7109375" bestFit="1" customWidth="1"/>
    <col min="18" max="18" width="7.7109375" bestFit="1" customWidth="1"/>
    <col min="20" max="20" width="13" bestFit="1" customWidth="1"/>
    <col min="26" max="26" width="9.85546875" bestFit="1" customWidth="1"/>
    <col min="27" max="27" width="255.42578125" bestFit="1" customWidth="1"/>
  </cols>
  <sheetData>
    <row r="1" spans="1:27" x14ac:dyDescent="0.25">
      <c r="A1" s="6" t="s">
        <v>26</v>
      </c>
      <c r="B1" s="6" t="s">
        <v>2</v>
      </c>
      <c r="C1" s="7" t="s">
        <v>3</v>
      </c>
      <c r="D1" s="8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390</v>
      </c>
      <c r="J1" s="6" t="s">
        <v>391</v>
      </c>
      <c r="K1" s="6" t="s">
        <v>392</v>
      </c>
      <c r="L1" s="6" t="s">
        <v>393</v>
      </c>
      <c r="M1" s="6" t="s">
        <v>394</v>
      </c>
      <c r="N1" s="6" t="s">
        <v>395</v>
      </c>
      <c r="O1" s="6" t="s">
        <v>396</v>
      </c>
      <c r="P1" s="6" t="s">
        <v>11</v>
      </c>
      <c r="Q1" s="6" t="s">
        <v>12</v>
      </c>
      <c r="R1" s="6" t="s">
        <v>13</v>
      </c>
      <c r="S1" s="6" t="s">
        <v>16</v>
      </c>
      <c r="T1" s="9" t="s">
        <v>18</v>
      </c>
      <c r="U1" s="10" t="s">
        <v>19</v>
      </c>
      <c r="V1" s="6" t="s">
        <v>20</v>
      </c>
      <c r="W1" s="6"/>
      <c r="X1" s="6"/>
      <c r="Y1" s="6"/>
      <c r="Z1" s="6"/>
      <c r="AA1" s="6" t="s">
        <v>397</v>
      </c>
    </row>
    <row r="2" spans="1:27" x14ac:dyDescent="0.25">
      <c r="A2" s="20">
        <v>17714</v>
      </c>
      <c r="B2" s="1" t="s">
        <v>398</v>
      </c>
      <c r="C2" s="12">
        <v>45870</v>
      </c>
      <c r="D2" s="3">
        <v>252132378123</v>
      </c>
      <c r="E2" s="1" t="str">
        <f>CONCATENATE("'",D2,"';")</f>
        <v>'252132378123';</v>
      </c>
      <c r="F2" s="1" t="s">
        <v>28</v>
      </c>
      <c r="G2" s="1" t="s">
        <v>399</v>
      </c>
      <c r="H2" s="1" t="str">
        <f>CONCATENATE("'",G2,"';")</f>
        <v>'VhGYsztkVNM8PCjtBoUyJD';</v>
      </c>
      <c r="I2" s="2">
        <v>45870</v>
      </c>
      <c r="J2" s="1" t="s">
        <v>400</v>
      </c>
      <c r="K2" s="1">
        <v>996252138796945</v>
      </c>
      <c r="L2" s="1">
        <v>1754023234</v>
      </c>
      <c r="M2" s="1">
        <v>143651</v>
      </c>
      <c r="N2" s="21" t="s">
        <v>401</v>
      </c>
      <c r="O2" s="1" t="s">
        <v>10</v>
      </c>
      <c r="P2" s="1">
        <v>5</v>
      </c>
      <c r="Q2" s="1">
        <v>5</v>
      </c>
      <c r="R2" s="1">
        <f>+P2-Q2</f>
        <v>0</v>
      </c>
      <c r="S2" s="4">
        <v>204968</v>
      </c>
      <c r="T2" s="4"/>
      <c r="U2" s="5"/>
      <c r="V2" s="1"/>
      <c r="W2" s="1"/>
      <c r="X2" s="1"/>
      <c r="Y2" s="1"/>
      <c r="Z2" s="1"/>
      <c r="AA2" t="str">
        <f>_xlfn.CONCAT("{""VOUCHER_PSP"": ""BILLETERA-NIUBIZ"", ""VOUCHER_PSP_TIN"": """, D2, """, ""VOUCHER_Currency"": """, O2, """, ""VOUCHER_Amount"": ", P2, ", ""VOUCHER_Operacion_PSP"": """, S2, """, ""VOUCHER_FECHA"": """, I2, """, ""QR_WALLET"": """, J2, """, ""QR_payment_method"": ""WALLET"", ""QR_purchase_number"": """, L2, """, ""QR_transaction_id"": """, K2, """, ""QR_authorization_code"": """, M2, """, ""QR_action_code"": """, N2, """,  ""QR_authorization_status"": ""AUTHORIZED""}")</f>
        <v>{"VOUCHER_PSP": "BILLETERA-NIUBIZ", "VOUCHER_PSP_TIN": "252132378123", "VOUCHER_Currency": "PEN", "VOUCHER_Amount": 5, "VOUCHER_Operacion_PSP": "204968", "VOUCHER_FECHA": "45870", "QR_WALLET": "YAPE", "QR_payment_method": "WALLET", "QR_purchase_number": "1754023234", "QR_transaction_id": "996252138796945", "QR_authorization_code": "143651", "QR_action_code": "000",  "QR_authorization_status": "AUTHORIZED"}</v>
      </c>
    </row>
  </sheetData>
  <conditionalFormatting sqref="C2">
    <cfRule type="expression" dxfId="25" priority="7">
      <formula>TEXT($D2, "MMMM") &lt;&gt; "May"</formula>
    </cfRule>
  </conditionalFormatting>
  <conditionalFormatting sqref="D1">
    <cfRule type="duplicateValues" dxfId="24" priority="16"/>
    <cfRule type="duplicateValues" dxfId="23" priority="17"/>
    <cfRule type="duplicateValues" dxfId="22" priority="18"/>
    <cfRule type="duplicateValues" dxfId="21" priority="19"/>
  </conditionalFormatting>
  <conditionalFormatting sqref="D2">
    <cfRule type="duplicateValues" dxfId="20" priority="1"/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</conditionalFormatting>
  <conditionalFormatting sqref="P2">
    <cfRule type="cellIs" dxfId="14" priority="15" operator="greaterThan">
      <formula>1000</formula>
    </cfRule>
  </conditionalFormatting>
  <dataValidations count="1">
    <dataValidation type="list" allowBlank="1" showInputMessage="1" showErrorMessage="1" sqref="A1" xr:uid="{7FEEB8B3-EDD6-4CE3-8AE1-0C32E916681E}">
      <formula1>"EECC, Ticket, CREP"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56E5163-D939-452A-B0D9-4F79F2374616}">
          <x14:formula1>
            <xm:f>DSN_RONDAS!$A$2:$A$13</xm:f>
          </x14:formula1>
          <xm:sqref>U2</xm:sqref>
        </x14:dataValidation>
        <x14:dataValidation type="list" allowBlank="1" showInputMessage="1" showErrorMessage="1" xr:uid="{2141D86D-B1F8-44CF-B1F3-13A50D47AD92}">
          <x14:formula1>
            <xm:f>DSN_ESTADO!$A$2:$A$8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91C3-5EAB-4876-82D7-3CEA51E456B5}">
  <dimension ref="A1:A13"/>
  <sheetViews>
    <sheetView workbookViewId="0">
      <selection activeCell="A14" sqref="A14"/>
    </sheetView>
  </sheetViews>
  <sheetFormatPr baseColWidth="10" defaultColWidth="8.85546875" defaultRowHeight="15" x14ac:dyDescent="0.25"/>
  <cols>
    <col min="1" max="1" width="15.85546875" customWidth="1"/>
  </cols>
  <sheetData>
    <row r="1" spans="1:1" x14ac:dyDescent="0.25">
      <c r="A1" t="s">
        <v>402</v>
      </c>
    </row>
    <row r="2" spans="1:1" x14ac:dyDescent="0.25">
      <c r="A2" s="11">
        <v>0</v>
      </c>
    </row>
    <row r="3" spans="1:1" x14ac:dyDescent="0.25">
      <c r="A3" s="11">
        <v>8.3333333333333329E-2</v>
      </c>
    </row>
    <row r="4" spans="1:1" x14ac:dyDescent="0.25">
      <c r="A4" s="11">
        <v>0.16666666666666666</v>
      </c>
    </row>
    <row r="5" spans="1:1" x14ac:dyDescent="0.25">
      <c r="A5" s="11">
        <v>0.25</v>
      </c>
    </row>
    <row r="6" spans="1:1" x14ac:dyDescent="0.25">
      <c r="A6" s="11">
        <v>0.33333333333333331</v>
      </c>
    </row>
    <row r="7" spans="1:1" x14ac:dyDescent="0.25">
      <c r="A7" s="11">
        <v>0.41666666666666669</v>
      </c>
    </row>
    <row r="8" spans="1:1" x14ac:dyDescent="0.25">
      <c r="A8" s="11">
        <v>0.5</v>
      </c>
    </row>
    <row r="9" spans="1:1" x14ac:dyDescent="0.25">
      <c r="A9" s="11">
        <v>0.58333333333333337</v>
      </c>
    </row>
    <row r="10" spans="1:1" x14ac:dyDescent="0.25">
      <c r="A10" s="11">
        <v>0.66666666666666663</v>
      </c>
    </row>
    <row r="11" spans="1:1" x14ac:dyDescent="0.25">
      <c r="A11" s="11">
        <v>0.75</v>
      </c>
    </row>
    <row r="12" spans="1:1" x14ac:dyDescent="0.25">
      <c r="A12" s="11">
        <v>0.83333333333333337</v>
      </c>
    </row>
    <row r="13" spans="1:1" x14ac:dyDescent="0.25">
      <c r="A13" s="11">
        <v>0.91666666666666663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7EE3-7188-4321-8C33-D54D2A317D01}">
  <dimension ref="A1:A4"/>
  <sheetViews>
    <sheetView workbookViewId="0">
      <selection activeCell="A5" sqref="A5"/>
    </sheetView>
  </sheetViews>
  <sheetFormatPr baseColWidth="10" defaultColWidth="8.85546875" defaultRowHeight="15" x14ac:dyDescent="0.25"/>
  <sheetData>
    <row r="1" spans="1:1" x14ac:dyDescent="0.25">
      <c r="A1" t="s">
        <v>7</v>
      </c>
    </row>
    <row r="2" spans="1:1" x14ac:dyDescent="0.25">
      <c r="A2" t="s">
        <v>34</v>
      </c>
    </row>
    <row r="3" spans="1:1" x14ac:dyDescent="0.25">
      <c r="A3" t="s">
        <v>28</v>
      </c>
    </row>
    <row r="4" spans="1:1" x14ac:dyDescent="0.25">
      <c r="A4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A75A-A9AA-4D66-83C7-FA0DA0D6A6DA}">
  <dimension ref="A1:A65"/>
  <sheetViews>
    <sheetView topLeftCell="A53" workbookViewId="0">
      <selection activeCell="A69" sqref="A69"/>
    </sheetView>
  </sheetViews>
  <sheetFormatPr baseColWidth="10" defaultColWidth="8.85546875" defaultRowHeight="15" x14ac:dyDescent="0.25"/>
  <cols>
    <col min="1" max="1" width="51" bestFit="1" customWidth="1"/>
  </cols>
  <sheetData>
    <row r="1" spans="1:1" x14ac:dyDescent="0.25">
      <c r="A1" t="s">
        <v>403</v>
      </c>
    </row>
    <row r="2" spans="1:1" x14ac:dyDescent="0.25">
      <c r="A2" t="s">
        <v>37</v>
      </c>
    </row>
    <row r="3" spans="1:1" x14ac:dyDescent="0.25">
      <c r="A3" t="s">
        <v>27</v>
      </c>
    </row>
    <row r="4" spans="1:1" x14ac:dyDescent="0.25">
      <c r="A4" t="s">
        <v>404</v>
      </c>
    </row>
    <row r="5" spans="1:1" x14ac:dyDescent="0.25">
      <c r="A5" t="s">
        <v>405</v>
      </c>
    </row>
    <row r="6" spans="1:1" x14ac:dyDescent="0.25">
      <c r="A6" t="s">
        <v>406</v>
      </c>
    </row>
    <row r="7" spans="1:1" x14ac:dyDescent="0.25">
      <c r="A7" t="s">
        <v>33</v>
      </c>
    </row>
    <row r="8" spans="1:1" x14ac:dyDescent="0.25">
      <c r="A8" t="s">
        <v>407</v>
      </c>
    </row>
    <row r="9" spans="1:1" x14ac:dyDescent="0.25">
      <c r="A9" t="s">
        <v>338</v>
      </c>
    </row>
    <row r="10" spans="1:1" x14ac:dyDescent="0.25">
      <c r="A10" t="s">
        <v>408</v>
      </c>
    </row>
    <row r="11" spans="1:1" x14ac:dyDescent="0.25">
      <c r="A11" t="s">
        <v>409</v>
      </c>
    </row>
    <row r="12" spans="1:1" x14ac:dyDescent="0.25">
      <c r="A12" t="s">
        <v>410</v>
      </c>
    </row>
    <row r="13" spans="1:1" x14ac:dyDescent="0.25">
      <c r="A13" t="s">
        <v>411</v>
      </c>
    </row>
    <row r="14" spans="1:1" x14ac:dyDescent="0.25">
      <c r="A14" t="s">
        <v>412</v>
      </c>
    </row>
    <row r="15" spans="1:1" x14ac:dyDescent="0.25">
      <c r="A15" t="s">
        <v>52</v>
      </c>
    </row>
    <row r="16" spans="1:1" x14ac:dyDescent="0.25">
      <c r="A16" t="s">
        <v>413</v>
      </c>
    </row>
    <row r="17" spans="1:1" x14ac:dyDescent="0.25">
      <c r="A17" t="s">
        <v>414</v>
      </c>
    </row>
    <row r="18" spans="1:1" x14ac:dyDescent="0.25">
      <c r="A18" t="s">
        <v>415</v>
      </c>
    </row>
    <row r="19" spans="1:1" x14ac:dyDescent="0.25">
      <c r="A19" t="s">
        <v>84</v>
      </c>
    </row>
    <row r="20" spans="1:1" x14ac:dyDescent="0.25">
      <c r="A20" t="s">
        <v>416</v>
      </c>
    </row>
    <row r="21" spans="1:1" x14ac:dyDescent="0.25">
      <c r="A21" t="s">
        <v>417</v>
      </c>
    </row>
    <row r="22" spans="1:1" x14ac:dyDescent="0.25">
      <c r="A22" t="s">
        <v>418</v>
      </c>
    </row>
    <row r="23" spans="1:1" x14ac:dyDescent="0.25">
      <c r="A23" t="s">
        <v>419</v>
      </c>
    </row>
    <row r="24" spans="1:1" x14ac:dyDescent="0.25">
      <c r="A24" t="s">
        <v>420</v>
      </c>
    </row>
    <row r="25" spans="1:1" x14ac:dyDescent="0.25">
      <c r="A25" t="s">
        <v>421</v>
      </c>
    </row>
    <row r="26" spans="1:1" x14ac:dyDescent="0.25">
      <c r="A26" t="s">
        <v>422</v>
      </c>
    </row>
    <row r="27" spans="1:1" x14ac:dyDescent="0.25">
      <c r="A27" t="s">
        <v>423</v>
      </c>
    </row>
    <row r="28" spans="1:1" x14ac:dyDescent="0.25">
      <c r="A28" t="s">
        <v>424</v>
      </c>
    </row>
    <row r="29" spans="1:1" x14ac:dyDescent="0.25">
      <c r="A29" t="s">
        <v>425</v>
      </c>
    </row>
    <row r="30" spans="1:1" x14ac:dyDescent="0.25">
      <c r="A30" t="s">
        <v>426</v>
      </c>
    </row>
    <row r="31" spans="1:1" x14ac:dyDescent="0.25">
      <c r="A31" t="s">
        <v>427</v>
      </c>
    </row>
    <row r="32" spans="1:1" x14ac:dyDescent="0.25">
      <c r="A32" t="s">
        <v>428</v>
      </c>
    </row>
    <row r="33" spans="1:1" x14ac:dyDescent="0.25">
      <c r="A33" t="s">
        <v>429</v>
      </c>
    </row>
    <row r="34" spans="1:1" x14ac:dyDescent="0.25">
      <c r="A34" t="s">
        <v>86</v>
      </c>
    </row>
    <row r="35" spans="1:1" x14ac:dyDescent="0.25">
      <c r="A35" t="s">
        <v>430</v>
      </c>
    </row>
    <row r="36" spans="1:1" x14ac:dyDescent="0.25">
      <c r="A36" t="s">
        <v>75</v>
      </c>
    </row>
    <row r="37" spans="1:1" x14ac:dyDescent="0.25">
      <c r="A37" t="s">
        <v>431</v>
      </c>
    </row>
    <row r="38" spans="1:1" x14ac:dyDescent="0.25">
      <c r="A38" t="s">
        <v>432</v>
      </c>
    </row>
    <row r="39" spans="1:1" x14ac:dyDescent="0.25">
      <c r="A39" t="s">
        <v>433</v>
      </c>
    </row>
    <row r="40" spans="1:1" x14ac:dyDescent="0.25">
      <c r="A40" t="s">
        <v>60</v>
      </c>
    </row>
    <row r="41" spans="1:1" x14ac:dyDescent="0.25">
      <c r="A41" t="s">
        <v>434</v>
      </c>
    </row>
    <row r="42" spans="1:1" x14ac:dyDescent="0.25">
      <c r="A42" t="s">
        <v>435</v>
      </c>
    </row>
    <row r="43" spans="1:1" x14ac:dyDescent="0.25">
      <c r="A43" t="s">
        <v>119</v>
      </c>
    </row>
    <row r="44" spans="1:1" x14ac:dyDescent="0.25">
      <c r="A44" t="s">
        <v>436</v>
      </c>
    </row>
    <row r="45" spans="1:1" x14ac:dyDescent="0.25">
      <c r="A45" t="s">
        <v>437</v>
      </c>
    </row>
    <row r="46" spans="1:1" x14ac:dyDescent="0.25">
      <c r="A46" t="s">
        <v>438</v>
      </c>
    </row>
    <row r="47" spans="1:1" x14ac:dyDescent="0.25">
      <c r="A47" t="s">
        <v>62</v>
      </c>
    </row>
    <row r="48" spans="1:1" x14ac:dyDescent="0.25">
      <c r="A48" t="s">
        <v>41</v>
      </c>
    </row>
    <row r="49" spans="1:1" x14ac:dyDescent="0.25">
      <c r="A49" t="s">
        <v>79</v>
      </c>
    </row>
    <row r="50" spans="1:1" x14ac:dyDescent="0.25">
      <c r="A50" t="s">
        <v>439</v>
      </c>
    </row>
    <row r="51" spans="1:1" x14ac:dyDescent="0.25">
      <c r="A51" t="s">
        <v>440</v>
      </c>
    </row>
    <row r="52" spans="1:1" x14ac:dyDescent="0.25">
      <c r="A52" t="s">
        <v>441</v>
      </c>
    </row>
    <row r="53" spans="1:1" x14ac:dyDescent="0.25">
      <c r="A53" t="s">
        <v>442</v>
      </c>
    </row>
    <row r="54" spans="1:1" x14ac:dyDescent="0.25">
      <c r="A54" t="s">
        <v>44</v>
      </c>
    </row>
    <row r="55" spans="1:1" x14ac:dyDescent="0.25">
      <c r="A55" t="s">
        <v>443</v>
      </c>
    </row>
    <row r="56" spans="1:1" x14ac:dyDescent="0.25">
      <c r="A56" t="s">
        <v>444</v>
      </c>
    </row>
    <row r="57" spans="1:1" x14ac:dyDescent="0.25">
      <c r="A57" t="s">
        <v>445</v>
      </c>
    </row>
    <row r="58" spans="1:1" x14ac:dyDescent="0.25">
      <c r="A58" t="s">
        <v>446</v>
      </c>
    </row>
    <row r="59" spans="1:1" x14ac:dyDescent="0.25">
      <c r="A59" t="s">
        <v>447</v>
      </c>
    </row>
    <row r="60" spans="1:1" x14ac:dyDescent="0.25">
      <c r="A60" t="s">
        <v>448</v>
      </c>
    </row>
    <row r="61" spans="1:1" x14ac:dyDescent="0.25">
      <c r="A61" t="s">
        <v>449</v>
      </c>
    </row>
    <row r="62" spans="1:1" x14ac:dyDescent="0.25">
      <c r="A62" t="s">
        <v>450</v>
      </c>
    </row>
    <row r="63" spans="1:1" x14ac:dyDescent="0.25">
      <c r="A63" t="s">
        <v>451</v>
      </c>
    </row>
    <row r="64" spans="1:1" x14ac:dyDescent="0.25">
      <c r="A64" t="s">
        <v>452</v>
      </c>
    </row>
    <row r="65" spans="1:1" x14ac:dyDescent="0.25">
      <c r="A65" t="s">
        <v>94</v>
      </c>
    </row>
  </sheetData>
  <sortState xmlns:xlrd2="http://schemas.microsoft.com/office/spreadsheetml/2017/richdata2" ref="A2:A1618">
    <sortCondition ref="A2:A161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32C7-CD2D-413C-A2A8-DA97E99349FB}">
  <dimension ref="A1"/>
  <sheetViews>
    <sheetView workbookViewId="0">
      <selection activeCell="H32" sqref="H32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F7BA-7355-49E6-8E6A-69F763094AA7}">
  <dimension ref="A1:Z2"/>
  <sheetViews>
    <sheetView workbookViewId="0">
      <selection activeCell="K2" sqref="K2"/>
    </sheetView>
  </sheetViews>
  <sheetFormatPr baseColWidth="10" defaultRowHeight="15" x14ac:dyDescent="0.25"/>
  <sheetData>
    <row r="1" spans="1:26" x14ac:dyDescent="0.25">
      <c r="A1" s="34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7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8" t="s">
        <v>15</v>
      </c>
      <c r="Q1" s="35" t="s">
        <v>16</v>
      </c>
      <c r="R1" s="36" t="s">
        <v>17</v>
      </c>
      <c r="S1" s="38" t="s">
        <v>18</v>
      </c>
      <c r="T1" s="39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40" t="s">
        <v>25</v>
      </c>
    </row>
    <row r="2" spans="1:26" x14ac:dyDescent="0.25">
      <c r="A2" s="22"/>
      <c r="B2" s="23"/>
      <c r="C2" s="23"/>
      <c r="D2" s="24"/>
      <c r="E2" s="24"/>
      <c r="F2" s="25"/>
      <c r="G2" s="23"/>
      <c r="H2" s="23"/>
      <c r="I2" s="23"/>
      <c r="J2" s="23"/>
      <c r="K2" s="23"/>
      <c r="L2" s="23"/>
      <c r="M2" s="23"/>
      <c r="N2" s="23"/>
      <c r="O2" s="23"/>
      <c r="P2" s="26"/>
      <c r="Q2" s="27"/>
      <c r="R2" s="24"/>
      <c r="S2" s="26"/>
      <c r="T2" s="28"/>
      <c r="U2" s="23"/>
      <c r="V2" s="23"/>
      <c r="W2" s="23"/>
      <c r="X2" s="23"/>
      <c r="Y2" s="1" t="s">
        <v>453</v>
      </c>
      <c r="Z2" s="41" t="s">
        <v>453</v>
      </c>
    </row>
  </sheetData>
  <conditionalFormatting sqref="D2:E2">
    <cfRule type="expression" dxfId="13" priority="4">
      <formula>TEXT($D2, "MMMM") &lt;&gt; "Enero"</formula>
    </cfRule>
  </conditionalFormatting>
  <conditionalFormatting sqref="F1"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F1:F2">
    <cfRule type="duplicateValues" dxfId="8" priority="1"/>
  </conditionalFormatting>
  <conditionalFormatting sqref="F2">
    <cfRule type="duplicateValues" dxfId="7" priority="2"/>
    <cfRule type="duplicateValues" dxfId="6" priority="5"/>
    <cfRule type="duplicateValues" dxfId="5" priority="7"/>
    <cfRule type="duplicateValues" dxfId="4" priority="8"/>
    <cfRule type="duplicateValues" dxfId="3" priority="9"/>
    <cfRule type="duplicateValues" dxfId="2" priority="10"/>
  </conditionalFormatting>
  <conditionalFormatting sqref="L2">
    <cfRule type="cellIs" dxfId="1" priority="6" operator="greaterThan">
      <formula>1000</formula>
    </cfRule>
  </conditionalFormatting>
  <conditionalFormatting sqref="L2:M2">
    <cfRule type="cellIs" dxfId="0" priority="3" operator="greaterThan">
      <formula>500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2eaa61-63e4-40be-b628-53b7739fd9d4">
      <Terms xmlns="http://schemas.microsoft.com/office/infopath/2007/PartnerControls"/>
    </lcf76f155ced4ddcb4097134ff3c332f>
    <TaxCatchAll xmlns="2d8a33b1-cad5-4f97-830a-070708bbe9ca" xsi:nil="true"/>
    <Elementos xmlns="ed2eaa61-63e4-40be-b628-53b7739fd9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53027D5A2884C85328F4EE0BDD045" ma:contentTypeVersion="19" ma:contentTypeDescription="Create a new document." ma:contentTypeScope="" ma:versionID="4d6fa73b26aaf223608520463c7c733e">
  <xsd:schema xmlns:xsd="http://www.w3.org/2001/XMLSchema" xmlns:xs="http://www.w3.org/2001/XMLSchema" xmlns:p="http://schemas.microsoft.com/office/2006/metadata/properties" xmlns:ns2="2d8a33b1-cad5-4f97-830a-070708bbe9ca" xmlns:ns3="ed2eaa61-63e4-40be-b628-53b7739fd9d4" targetNamespace="http://schemas.microsoft.com/office/2006/metadata/properties" ma:root="true" ma:fieldsID="c885eb7dd60d6526f0059b06348407b6" ns2:_="" ns3:_="">
    <xsd:import namespace="2d8a33b1-cad5-4f97-830a-070708bbe9ca"/>
    <xsd:import namespace="ed2eaa61-63e4-40be-b628-53b7739fd9d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Elemento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a33b1-cad5-4f97-830a-070708bbe9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610c1d4-bd0a-4ec0-b205-9cb774d5466d}" ma:internalName="TaxCatchAll" ma:showField="CatchAllData" ma:web="2d8a33b1-cad5-4f97-830a-070708bbe9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eaa61-63e4-40be-b628-53b7739fd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c6b7d0d-0a21-4d8a-b6d3-4d1e913b84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lementos" ma:index="26" nillable="true" ma:displayName="Elementos" ma:format="Dropdown" ma:internalName="Elementos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73291-C637-48C5-BFAC-5C7A856986B9}">
  <ds:schemaRefs>
    <ds:schemaRef ds:uri="http://schemas.microsoft.com/office/2006/metadata/properties"/>
    <ds:schemaRef ds:uri="http://schemas.microsoft.com/office/infopath/2007/PartnerControls"/>
    <ds:schemaRef ds:uri="ed2eaa61-63e4-40be-b628-53b7739fd9d4"/>
    <ds:schemaRef ds:uri="2d8a33b1-cad5-4f97-830a-070708bbe9ca"/>
  </ds:schemaRefs>
</ds:datastoreItem>
</file>

<file path=customXml/itemProps2.xml><?xml version="1.0" encoding="utf-8"?>
<ds:datastoreItem xmlns:ds="http://schemas.openxmlformats.org/officeDocument/2006/customXml" ds:itemID="{7177F3A1-E377-422F-8802-E85E07538A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73DFC4-A405-44A7-B159-03D853FA5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8a33b1-cad5-4f97-830a-070708bbe9ca"/>
    <ds:schemaRef ds:uri="ed2eaa61-63e4-40be-b628-53b7739fd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dsn_linea_planitlla_transferenc</vt:lpstr>
      <vt:lpstr>dsn_linea_planitlla_billetera</vt:lpstr>
      <vt:lpstr>DSN_RONDAS</vt:lpstr>
      <vt:lpstr>DSN_ESTADO</vt:lpstr>
      <vt:lpstr>DSN_EMPRESAS</vt:lpstr>
      <vt:lpstr>dsn_linea_planitlla_tarjetas</vt:lpstr>
      <vt:lpstr>dsn_linea_CHILE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Dussand Hurtado Maluquish</cp:lastModifiedBy>
  <cp:revision/>
  <dcterms:created xsi:type="dcterms:W3CDTF">2025-03-19T19:15:48Z</dcterms:created>
  <dcterms:modified xsi:type="dcterms:W3CDTF">2026-01-26T20:13:09Z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0x01010028253027D5A2884C85328F4EE0BDD045</vt:lpwstr>
  </property>
  <property fmtid="{D5CDD505-2E9C-101B-9397-08002B2CF9AE}" pid="3" name="MediaServiceImageTags">
    <vt:lpwstr/>
  </property>
</Properties>
</file>